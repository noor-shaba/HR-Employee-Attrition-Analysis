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4218cdf1b0504d/Documents/"/>
    </mc:Choice>
  </mc:AlternateContent>
  <xr:revisionPtr revIDLastSave="542" documentId="8_{1243CFB1-A1F5-4D22-B1E6-DFBCB52C5895}" xr6:coauthVersionLast="47" xr6:coauthVersionMax="47" xr10:uidLastSave="{3842432F-D569-46C1-817B-4E0F02FAF8DA}"/>
  <bookViews>
    <workbookView xWindow="-110" yWindow="-110" windowWidth="19420" windowHeight="10300" activeTab="1" xr2:uid="{5739D02F-4520-412A-9C96-28C8D7644755}"/>
  </bookViews>
  <sheets>
    <sheet name="HR_Data" sheetId="1" r:id="rId1"/>
    <sheet name="JobRole-Analysis" sheetId="2" r:id="rId2"/>
  </sheets>
  <definedNames>
    <definedName name="_xlnm._FilterDatabase" localSheetId="0" hidden="1">HR_Data!$A$1:$A$1471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2" l="1"/>
  <c r="D57" i="2" s="1"/>
  <c r="D58" i="2"/>
  <c r="D56" i="2"/>
  <c r="C56" i="2"/>
  <c r="C58" i="2"/>
  <c r="C57" i="2"/>
  <c r="B58" i="2"/>
  <c r="B56" i="2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B44" i="2"/>
  <c r="B45" i="2"/>
  <c r="B43" i="2"/>
  <c r="B31" i="2"/>
  <c r="B32" i="2"/>
  <c r="B33" i="2"/>
  <c r="B34" i="2"/>
  <c r="B27" i="2"/>
  <c r="B28" i="2"/>
  <c r="B29" i="2"/>
  <c r="B30" i="2"/>
  <c r="B26" i="2"/>
  <c r="B8" i="2"/>
  <c r="D8" i="2" s="1"/>
  <c r="C3" i="2"/>
  <c r="C4" i="2"/>
  <c r="C5" i="2"/>
  <c r="C6" i="2"/>
  <c r="C7" i="2"/>
  <c r="C8" i="2"/>
  <c r="C9" i="2"/>
  <c r="C10" i="2"/>
  <c r="C2" i="2"/>
  <c r="B3" i="2"/>
  <c r="B4" i="2"/>
  <c r="B5" i="2"/>
  <c r="B6" i="2"/>
  <c r="B7" i="2"/>
  <c r="B9" i="2"/>
  <c r="B10" i="2"/>
  <c r="B2" i="2"/>
  <c r="AN12" i="1"/>
  <c r="AN11" i="1"/>
  <c r="AN10" i="1"/>
  <c r="AM11" i="1"/>
  <c r="AM12" i="1"/>
  <c r="AM10" i="1"/>
  <c r="AM5" i="1"/>
  <c r="AM4" i="1"/>
  <c r="AM3" i="1"/>
  <c r="AM2" i="1"/>
  <c r="D2" i="2" l="1"/>
  <c r="D3" i="2"/>
  <c r="D7" i="2"/>
  <c r="AQ4" i="1"/>
  <c r="D9" i="2"/>
  <c r="D5" i="2"/>
  <c r="D10" i="2"/>
  <c r="D6" i="2"/>
  <c r="D4" i="2"/>
</calcChain>
</file>

<file path=xl/sharedStrings.xml><?xml version="1.0" encoding="utf-8"?>
<sst xmlns="http://schemas.openxmlformats.org/spreadsheetml/2006/main" count="13313" uniqueCount="79">
  <si>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</si>
  <si>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</si>
  <si>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</si>
  <si>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</si>
  <si>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</si>
  <si>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</si>
  <si>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</si>
  <si>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</si>
  <si>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</si>
  <si>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</si>
  <si>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</si>
  <si>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</si>
  <si>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</si>
  <si>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</si>
  <si>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</si>
  <si>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</si>
  <si>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</si>
  <si>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</si>
  <si>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</si>
  <si>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</si>
  <si>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</si>
  <si>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</si>
  <si>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</si>
  <si>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</si>
  <si>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</si>
  <si>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</si>
  <si>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</si>
  <si>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</si>
  <si>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</si>
  <si>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</si>
  <si>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</si>
  <si>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</si>
  <si>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</si>
  <si>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</si>
  <si>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</si>
  <si>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</si>
  <si>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</si>
  <si>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</si>
  <si>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</si>
  <si>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</si>
  <si>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</si>
  <si>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</si>
  <si>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</si>
  <si>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</si>
  <si>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</si>
  <si>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</si>
  <si>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</si>
  <si>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</si>
  <si>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</si>
  <si>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</si>
  <si>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</si>
  <si>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</si>
  <si>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</si>
  <si>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</si>
  <si>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</si>
  <si>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</si>
  <si>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</si>
  <si>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</si>
  <si>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</si>
  <si>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</si>
  <si>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</si>
  <si>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</si>
  <si>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</t>
  </si>
  <si>
    <t>EMPLOYEES LEFT</t>
  </si>
  <si>
    <t>ATTRITION RATE</t>
  </si>
  <si>
    <t>ACTIVE EMPLOYEE</t>
  </si>
  <si>
    <t>Employees Left</t>
  </si>
  <si>
    <t>Attrition Rate</t>
  </si>
  <si>
    <t>OVERALL ATTRITION RATE</t>
  </si>
  <si>
    <t>Job Role</t>
  </si>
  <si>
    <t>Employee Left</t>
  </si>
  <si>
    <t>Total Employees</t>
  </si>
  <si>
    <t>Average Monthly Income</t>
  </si>
  <si>
    <t>Average Monthly Salary</t>
  </si>
  <si>
    <t>Salary Group</t>
  </si>
  <si>
    <t>LOW</t>
  </si>
  <si>
    <t>HIGH</t>
  </si>
  <si>
    <t>Attrition Rate(%)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</si>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</sst>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_ [$₹-4009]\ * #,##0_ ;_ [$₹-4009]\ * \-#,##0_ ;_ [$₹-4009]\ * &quot;-&quot;??_ ;_ @_ 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6C6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0" borderId="0" xfId="42" applyFont="1"/>
    <xf numFmtId="0" fontId="0" fillId="0" borderId="0" xfId="0" applyAlignment="1">
      <alignment horizontal="center"/>
    </xf>
    <xf numFmtId="0" fontId="16" fillId="33" borderId="11" xfId="0" applyFont="1" applyFill="1" applyBorder="1"/>
    <xf numFmtId="0" fontId="16" fillId="33" borderId="13" xfId="0" applyFont="1" applyFill="1" applyBorder="1"/>
    <xf numFmtId="0" fontId="16" fillId="33" borderId="15" xfId="0" applyFont="1" applyFill="1" applyBorder="1"/>
    <xf numFmtId="0" fontId="16" fillId="34" borderId="10" xfId="0" applyFont="1" applyFill="1" applyBorder="1"/>
    <xf numFmtId="0" fontId="0" fillId="35" borderId="10" xfId="0" applyFill="1" applyBorder="1"/>
    <xf numFmtId="9" fontId="0" fillId="35" borderId="10" xfId="42" applyFont="1" applyFill="1" applyBorder="1"/>
    <xf numFmtId="0" fontId="16" fillId="35" borderId="10" xfId="0" applyFont="1" applyFill="1" applyBorder="1"/>
    <xf numFmtId="0" fontId="19" fillId="36" borderId="0" xfId="0" applyFont="1" applyFill="1"/>
    <xf numFmtId="9" fontId="18" fillId="36" borderId="0" xfId="42" applyFont="1" applyFill="1"/>
    <xf numFmtId="0" fontId="20" fillId="33" borderId="14" xfId="0" applyFont="1" applyFill="1" applyBorder="1"/>
    <xf numFmtId="0" fontId="21" fillId="33" borderId="12" xfId="0" applyFont="1" applyFill="1" applyBorder="1"/>
    <xf numFmtId="9" fontId="21" fillId="33" borderId="14" xfId="42" applyFont="1" applyFill="1" applyBorder="1"/>
    <xf numFmtId="0" fontId="21" fillId="33" borderId="16" xfId="0" applyFont="1" applyFill="1" applyBorder="1"/>
    <xf numFmtId="9" fontId="0" fillId="0" borderId="0" xfId="42" applyFont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9" fontId="0" fillId="37" borderId="14" xfId="42" applyFont="1" applyFill="1" applyBorder="1" applyAlignment="1">
      <alignment horizontal="center"/>
    </xf>
    <xf numFmtId="0" fontId="0" fillId="38" borderId="15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9" fontId="0" fillId="37" borderId="16" xfId="42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40" borderId="13" xfId="0" applyFill="1" applyBorder="1" applyAlignment="1">
      <alignment horizontal="center"/>
    </xf>
    <xf numFmtId="165" fontId="0" fillId="40" borderId="14" xfId="0" applyNumberFormat="1" applyFill="1" applyBorder="1" applyAlignment="1">
      <alignment horizontal="center"/>
    </xf>
    <xf numFmtId="0" fontId="0" fillId="40" borderId="15" xfId="0" applyFill="1" applyBorder="1" applyAlignment="1">
      <alignment horizontal="center"/>
    </xf>
    <xf numFmtId="165" fontId="0" fillId="40" borderId="16" xfId="0" applyNumberFormat="1" applyFill="1" applyBorder="1" applyAlignment="1">
      <alignment horizontal="center"/>
    </xf>
    <xf numFmtId="165" fontId="0" fillId="40" borderId="14" xfId="0" applyNumberFormat="1" applyFill="1" applyBorder="1"/>
    <xf numFmtId="0" fontId="22" fillId="39" borderId="11" xfId="0" applyFont="1" applyFill="1" applyBorder="1" applyAlignment="1">
      <alignment horizontal="center"/>
    </xf>
    <xf numFmtId="0" fontId="22" fillId="39" borderId="12" xfId="0" applyFont="1" applyFill="1" applyBorder="1" applyAlignment="1">
      <alignment horizontal="center"/>
    </xf>
    <xf numFmtId="0" fontId="22" fillId="41" borderId="11" xfId="0" applyFont="1" applyFill="1" applyBorder="1" applyAlignment="1">
      <alignment horizontal="center"/>
    </xf>
    <xf numFmtId="0" fontId="22" fillId="41" borderId="12" xfId="0" applyFont="1" applyFill="1" applyBorder="1" applyAlignment="1">
      <alignment horizontal="center"/>
    </xf>
    <xf numFmtId="0" fontId="0" fillId="42" borderId="13" xfId="0" applyFill="1" applyBorder="1" applyAlignment="1">
      <alignment horizontal="center"/>
    </xf>
    <xf numFmtId="165" fontId="0" fillId="42" borderId="14" xfId="0" applyNumberFormat="1" applyFill="1" applyBorder="1"/>
    <xf numFmtId="0" fontId="0" fillId="42" borderId="15" xfId="0" applyFill="1" applyBorder="1" applyAlignment="1">
      <alignment horizontal="center"/>
    </xf>
    <xf numFmtId="165" fontId="0" fillId="42" borderId="16" xfId="0" applyNumberFormat="1" applyFill="1" applyBorder="1"/>
    <xf numFmtId="0" fontId="22" fillId="43" borderId="11" xfId="0" applyFont="1" applyFill="1" applyBorder="1" applyAlignment="1">
      <alignment horizontal="center"/>
    </xf>
    <xf numFmtId="0" fontId="22" fillId="43" borderId="17" xfId="0" applyFont="1" applyFill="1" applyBorder="1" applyAlignment="1">
      <alignment horizontal="center"/>
    </xf>
    <xf numFmtId="0" fontId="22" fillId="43" borderId="12" xfId="0" applyFont="1" applyFill="1" applyBorder="1" applyAlignment="1">
      <alignment horizontal="center"/>
    </xf>
    <xf numFmtId="0" fontId="20" fillId="44" borderId="10" xfId="0" applyFont="1" applyFill="1" applyBorder="1" applyAlignment="1">
      <alignment horizontal="center"/>
    </xf>
    <xf numFmtId="0" fontId="0" fillId="41" borderId="10" xfId="0" applyFill="1" applyBorder="1" applyAlignment="1">
      <alignment horizontal="center"/>
    </xf>
    <xf numFmtId="0" fontId="0" fillId="45" borderId="10" xfId="0" applyFill="1" applyBorder="1" applyAlignment="1">
      <alignment horizontal="center"/>
    </xf>
    <xf numFmtId="9" fontId="1" fillId="45" borderId="10" xfId="42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Department-wise</a:t>
            </a:r>
            <a:r>
              <a:rPr lang="en-IN" baseline="0"/>
              <a:t> Attrition Rate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HR_Data!$AN$9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HR_Data!$AL$10:$AL$12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HR_Data!$AN$10:$AN$12</c:f>
              <c:numCache>
                <c:formatCode>0%</c:formatCode>
                <c:ptCount val="3"/>
                <c:pt idx="0">
                  <c:v>0.20627802690582961</c:v>
                </c:pt>
                <c:pt idx="1">
                  <c:v>0.13839750260145681</c:v>
                </c:pt>
                <c:pt idx="2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92-4E75-ACFA-A5B60896A1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0901552"/>
        <c:axId val="17636499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HR_Data!$AM$9</c15:sqref>
                        </c15:formulaRef>
                      </c:ext>
                    </c:extLst>
                    <c:strCache>
                      <c:ptCount val="1"/>
                      <c:pt idx="0">
                        <c:v>Employees Left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HR_Data!$AL$10:$AL$12</c15:sqref>
                        </c15:formulaRef>
                      </c:ext>
                    </c:extLst>
                    <c:strCache>
                      <c:ptCount val="3"/>
                      <c:pt idx="0">
                        <c:v>Sales</c:v>
                      </c:pt>
                      <c:pt idx="1">
                        <c:v>Research &amp; Development</c:v>
                      </c:pt>
                      <c:pt idx="2">
                        <c:v>Human Resources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HR_Data!$AM$10:$AM$12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92</c:v>
                      </c:pt>
                      <c:pt idx="1">
                        <c:v>133</c:v>
                      </c:pt>
                      <c:pt idx="2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792-4E75-ACFA-A5B60896A1BB}"/>
                  </c:ext>
                </c:extLst>
              </c15:ser>
            </c15:filteredBarSeries>
          </c:ext>
        </c:extLst>
      </c:barChart>
      <c:catAx>
        <c:axId val="177090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649936"/>
        <c:crosses val="autoZero"/>
        <c:auto val="1"/>
        <c:lblAlgn val="ctr"/>
        <c:lblOffset val="100"/>
        <c:noMultiLvlLbl val="0"/>
      </c:catAx>
      <c:valAx>
        <c:axId val="176364993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90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Left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HR_Data!$AM$9</c:f>
              <c:strCache>
                <c:ptCount val="1"/>
                <c:pt idx="0">
                  <c:v>Employees Left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HR_Data!$AL$10:$AL$12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HR_Data!$AM$10:$AM$12</c:f>
              <c:numCache>
                <c:formatCode>General</c:formatCode>
                <c:ptCount val="3"/>
                <c:pt idx="0">
                  <c:v>92</c:v>
                </c:pt>
                <c:pt idx="1">
                  <c:v>133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A-437E-82D9-47FE1686A1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18832"/>
        <c:axId val="203267728"/>
      </c:barChart>
      <c:catAx>
        <c:axId val="5221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67728"/>
        <c:crosses val="autoZero"/>
        <c:auto val="1"/>
        <c:lblAlgn val="ctr"/>
        <c:lblOffset val="100"/>
        <c:noMultiLvlLbl val="0"/>
      </c:catAx>
      <c:valAx>
        <c:axId val="20326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Role-Wise 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'JobRole-Analysis'!$B$1</c:f>
              <c:strCache>
                <c:ptCount val="1"/>
                <c:pt idx="0">
                  <c:v>Employee Left</c:v>
                </c:pt>
              </c:strCache>
            </c:strRef>
          </c:tx>
          <c:spPr>
            <a:solidFill>
              <a:schemeClr val="accent5">
                <a:shade val="6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'JobRole-Analysis'!$A$2:$A$10</c:f>
              <c:strCache>
                <c:ptCount val="9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Manufacturing Director</c:v>
                </c:pt>
                <c:pt idx="4">
                  <c:v>Healthcare Representative</c:v>
                </c:pt>
                <c:pt idx="5">
                  <c:v>Manager</c:v>
                </c:pt>
                <c:pt idx="6">
                  <c:v>Sales Representative</c:v>
                </c:pt>
                <c:pt idx="7">
                  <c:v>Research Director</c:v>
                </c:pt>
                <c:pt idx="8">
                  <c:v>Human Resources</c:v>
                </c:pt>
              </c:strCache>
            </c:strRef>
          </c:cat>
          <c:val>
            <c:numRef>
              <c:f>'JobRole-Analysis'!$B$2:$B$10</c:f>
              <c:numCache>
                <c:formatCode>General</c:formatCode>
                <c:ptCount val="9"/>
                <c:pt idx="0">
                  <c:v>57</c:v>
                </c:pt>
                <c:pt idx="1">
                  <c:v>47</c:v>
                </c:pt>
                <c:pt idx="2">
                  <c:v>62</c:v>
                </c:pt>
                <c:pt idx="3">
                  <c:v>10</c:v>
                </c:pt>
                <c:pt idx="4">
                  <c:v>9</c:v>
                </c:pt>
                <c:pt idx="5">
                  <c:v>5</c:v>
                </c:pt>
                <c:pt idx="6">
                  <c:v>33</c:v>
                </c:pt>
                <c:pt idx="7">
                  <c:v>2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8-4232-B77A-78A7156F242D}"/>
            </c:ext>
          </c:extLst>
        </c:ser>
        <c:ser>
          <c:idx val="2"/>
          <c:order val="2"/>
          <c:tx>
            <c:strRef>
              <c:f>'JobRole-Analysis'!$D$1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5">
                <a:tint val="6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'JobRole-Analysis'!$A$2:$A$10</c:f>
              <c:strCache>
                <c:ptCount val="9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Manufacturing Director</c:v>
                </c:pt>
                <c:pt idx="4">
                  <c:v>Healthcare Representative</c:v>
                </c:pt>
                <c:pt idx="5">
                  <c:v>Manager</c:v>
                </c:pt>
                <c:pt idx="6">
                  <c:v>Sales Representative</c:v>
                </c:pt>
                <c:pt idx="7">
                  <c:v>Research Director</c:v>
                </c:pt>
                <c:pt idx="8">
                  <c:v>Human Resources</c:v>
                </c:pt>
              </c:strCache>
            </c:strRef>
          </c:cat>
          <c:val>
            <c:numRef>
              <c:f>'JobRole-Analysis'!$D$2:$D$10</c:f>
              <c:numCache>
                <c:formatCode>0%</c:formatCode>
                <c:ptCount val="9"/>
                <c:pt idx="0">
                  <c:v>0.17484662576687116</c:v>
                </c:pt>
                <c:pt idx="1">
                  <c:v>0.16095890410958905</c:v>
                </c:pt>
                <c:pt idx="2">
                  <c:v>0.23938223938223938</c:v>
                </c:pt>
                <c:pt idx="3">
                  <c:v>6.8965517241379309E-2</c:v>
                </c:pt>
                <c:pt idx="4">
                  <c:v>6.8702290076335881E-2</c:v>
                </c:pt>
                <c:pt idx="5">
                  <c:v>4.9019607843137254E-2</c:v>
                </c:pt>
                <c:pt idx="6">
                  <c:v>0.39759036144578314</c:v>
                </c:pt>
                <c:pt idx="7">
                  <c:v>2.5000000000000001E-2</c:v>
                </c:pt>
                <c:pt idx="8">
                  <c:v>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48-4232-B77A-78A7156F24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7486960"/>
        <c:axId val="99358411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'JobRole-Analysis'!$C$1</c15:sqref>
                        </c15:formulaRef>
                      </c:ext>
                    </c:extLst>
                    <c:strCache>
                      <c:ptCount val="1"/>
                      <c:pt idx="0">
                        <c:v>Total Employees</c:v>
                      </c:pt>
                    </c:strCache>
                  </c:strRef>
                </c:tx>
                <c:spPr>
                  <a:solidFill>
                    <a:schemeClr val="accent5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'JobRole-Analysis'!$A$2:$A$10</c15:sqref>
                        </c15:formulaRef>
                      </c:ext>
                    </c:extLst>
                    <c:strCache>
                      <c:ptCount val="9"/>
                      <c:pt idx="0">
                        <c:v>Sales Executive</c:v>
                      </c:pt>
                      <c:pt idx="1">
                        <c:v>Research Scientist</c:v>
                      </c:pt>
                      <c:pt idx="2">
                        <c:v>Laboratory Technician</c:v>
                      </c:pt>
                      <c:pt idx="3">
                        <c:v>Manufacturing Director</c:v>
                      </c:pt>
                      <c:pt idx="4">
                        <c:v>Healthcare Representative</c:v>
                      </c:pt>
                      <c:pt idx="5">
                        <c:v>Manager</c:v>
                      </c:pt>
                      <c:pt idx="6">
                        <c:v>Sales Representative</c:v>
                      </c:pt>
                      <c:pt idx="7">
                        <c:v>Research Director</c:v>
                      </c:pt>
                      <c:pt idx="8">
                        <c:v>Human Resources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'JobRole-Analysis'!$C$2:$C$10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326</c:v>
                      </c:pt>
                      <c:pt idx="1">
                        <c:v>292</c:v>
                      </c:pt>
                      <c:pt idx="2">
                        <c:v>259</c:v>
                      </c:pt>
                      <c:pt idx="3">
                        <c:v>145</c:v>
                      </c:pt>
                      <c:pt idx="4">
                        <c:v>131</c:v>
                      </c:pt>
                      <c:pt idx="5">
                        <c:v>102</c:v>
                      </c:pt>
                      <c:pt idx="6">
                        <c:v>83</c:v>
                      </c:pt>
                      <c:pt idx="7">
                        <c:v>80</c:v>
                      </c:pt>
                      <c:pt idx="8">
                        <c:v>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A48-4232-B77A-78A7156F242D}"/>
                  </c:ext>
                </c:extLst>
              </c15:ser>
            </c15:filteredBarSeries>
          </c:ext>
        </c:extLst>
      </c:barChart>
      <c:catAx>
        <c:axId val="63748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584112"/>
        <c:crosses val="autoZero"/>
        <c:auto val="1"/>
        <c:lblAlgn val="ctr"/>
        <c:lblOffset val="100"/>
        <c:noMultiLvlLbl val="0"/>
      </c:catAx>
      <c:valAx>
        <c:axId val="993584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8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Role-Wise Average Monthly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'JobRole-Analysis'!$B$25</c:f>
              <c:strCache>
                <c:ptCount val="1"/>
                <c:pt idx="0">
                  <c:v>Average Monthly Income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'JobRole-Analysis'!$A$26:$A$34</c:f>
              <c:strCache>
                <c:ptCount val="9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Manufacturing Director</c:v>
                </c:pt>
                <c:pt idx="4">
                  <c:v>Healthcare Representative</c:v>
                </c:pt>
                <c:pt idx="5">
                  <c:v>Manager</c:v>
                </c:pt>
                <c:pt idx="6">
                  <c:v>Sales Representative</c:v>
                </c:pt>
                <c:pt idx="7">
                  <c:v>Research Director</c:v>
                </c:pt>
                <c:pt idx="8">
                  <c:v>Human Resources</c:v>
                </c:pt>
              </c:strCache>
            </c:strRef>
          </c:cat>
          <c:val>
            <c:numRef>
              <c:f>'JobRole-Analysis'!$B$26:$B$34</c:f>
              <c:numCache>
                <c:formatCode>_ [$₹-4009]\ * #,##0_ ;_ [$₹-4009]\ * \-#,##0_ ;_ [$₹-4009]\ * "-"??_ ;_ @_ </c:formatCode>
                <c:ptCount val="9"/>
                <c:pt idx="0">
                  <c:v>6924.2791411042945</c:v>
                </c:pt>
                <c:pt idx="1">
                  <c:v>3239.972602739726</c:v>
                </c:pt>
                <c:pt idx="2">
                  <c:v>3237.169884169884</c:v>
                </c:pt>
                <c:pt idx="3">
                  <c:v>7295.1379310344828</c:v>
                </c:pt>
                <c:pt idx="4">
                  <c:v>7528.7633587786258</c:v>
                </c:pt>
                <c:pt idx="5">
                  <c:v>17181.676470588234</c:v>
                </c:pt>
                <c:pt idx="6">
                  <c:v>2626</c:v>
                </c:pt>
                <c:pt idx="7">
                  <c:v>16033.55</c:v>
                </c:pt>
                <c:pt idx="8">
                  <c:v>4235.75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F-4354-BA20-C7BEC5294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0711247"/>
        <c:axId val="1725766479"/>
        <c:axId val="0"/>
      </c:bar3DChart>
      <c:catAx>
        <c:axId val="1680711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66479"/>
        <c:crosses val="autoZero"/>
        <c:auto val="1"/>
        <c:lblAlgn val="ctr"/>
        <c:lblOffset val="100"/>
        <c:noMultiLvlLbl val="0"/>
      </c:catAx>
      <c:valAx>
        <c:axId val="172576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1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Department-Wise Average Monthly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'JobRole-Analysis'!$B$42</c:f>
              <c:strCache>
                <c:ptCount val="1"/>
                <c:pt idx="0">
                  <c:v>Average Monthly Salary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'JobRole-Analysis'!$A$43:$A$45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'JobRole-Analysis'!$B$43:$B$45</c:f>
              <c:numCache>
                <c:formatCode>_ [$₹-4009]\ * #,##0_ ;_ [$₹-4009]\ * \-#,##0_ ;_ [$₹-4009]\ * "-"??_ ;_ @_ </c:formatCode>
                <c:ptCount val="3"/>
                <c:pt idx="0">
                  <c:v>6959.17264573991</c:v>
                </c:pt>
                <c:pt idx="1">
                  <c:v>6281.2528616024974</c:v>
                </c:pt>
                <c:pt idx="2">
                  <c:v>6654.5079365079364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8-4F05-9248-9A927AFA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373007"/>
        <c:axId val="1620476719"/>
      </c:barChart>
      <c:catAx>
        <c:axId val="174437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476719"/>
        <c:crosses val="autoZero"/>
        <c:auto val="1"/>
        <c:lblAlgn val="ctr"/>
        <c:lblOffset val="100"/>
        <c:noMultiLvlLbl val="0"/>
      </c:catAx>
      <c:valAx>
        <c:axId val="16204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37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 Salary  Group</a:t>
            </a:r>
          </a:p>
        </c:rich>
      </c:tx>
      <c:layout>
        <c:manualLayout>
          <c:xMode val="edge"/>
          <c:yMode val="edge"/>
          <c:x val="0.361077492603117"/>
          <c:y val="1.9596850102099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'JobRole-Analysis'!$A$56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'JobRole-Analysis'!$B$55:$D$55</c15:sqref>
                  </c15:fullRef>
                </c:ext>
              </c:extLst>
              <c:f>'JobRole-Analysis'!$D$55</c:f>
              <c:strCache>
                <c:ptCount val="1"/>
                <c:pt idx="0">
                  <c:v>Attrition Rate(%)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'JobRole-Analysis'!$B$56:$D$56</c15:sqref>
                  </c15:fullRef>
                </c:ext>
              </c:extLst>
              <c:f>'JobRole-Analysis'!$D$56</c:f>
              <c:numCache>
                <c:formatCode>General</c:formatCode>
                <c:ptCount val="1"/>
                <c:pt idx="0" formatCode="0%">
                  <c:v>0.21762349799732977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3-4BFA-8FCD-94F5DD618537}"/>
            </c:ext>
          </c:extLst>
        </c:ser>
        <c:ser>
          <c:idx val="1"/>
          <c:order val="1"/>
          <c:tx>
            <c:strRef>
              <c:f>'JobRole-Analysis'!$A$57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'JobRole-Analysis'!$B$55:$D$55</c15:sqref>
                  </c15:fullRef>
                </c:ext>
              </c:extLst>
              <c:f>'JobRole-Analysis'!$D$55</c:f>
              <c:strCache>
                <c:ptCount val="1"/>
                <c:pt idx="0">
                  <c:v>Attrition Rate(%)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'JobRole-Analysis'!$B$57:$D$57</c15:sqref>
                  </c15:fullRef>
                </c:ext>
              </c:extLst>
              <c:f>'JobRole-Analysis'!$D$57</c:f>
              <c:numCache>
                <c:formatCode>General</c:formatCode>
                <c:ptCount val="1"/>
                <c:pt idx="0" formatCode="0%">
                  <c:v>0.11136363636363636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73-4BFA-8FCD-94F5DD618537}"/>
            </c:ext>
          </c:extLst>
        </c:ser>
        <c:ser>
          <c:idx val="2"/>
          <c:order val="2"/>
          <c:tx>
            <c:strRef>
              <c:f>'JobRole-Analysis'!$A$58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'JobRole-Analysis'!$B$55:$D$55</c15:sqref>
                  </c15:fullRef>
                </c:ext>
              </c:extLst>
              <c:f>'JobRole-Analysis'!$D$55</c:f>
              <c:strCache>
                <c:ptCount val="1"/>
                <c:pt idx="0">
                  <c:v>Attrition Rate(%)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'JobRole-Analysis'!$B$58:$D$58</c15:sqref>
                  </c15:fullRef>
                </c:ext>
              </c:extLst>
              <c:f>'JobRole-Analysis'!$D$58</c:f>
              <c:numCache>
                <c:formatCode>General</c:formatCode>
                <c:ptCount val="1"/>
                <c:pt idx="0" formatCode="0%">
                  <c:v>8.8967971530249115E-2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73-4BFA-8FCD-94F5DD6185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3235024"/>
        <c:axId val="1213276720"/>
      </c:barChart>
      <c:catAx>
        <c:axId val="109323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76720"/>
        <c:crosses val="autoZero"/>
        <c:auto val="1"/>
        <c:lblAlgn val="ctr"/>
        <c:lblOffset val="100"/>
        <c:noMultiLvlLbl val="0"/>
      </c:catAx>
      <c:valAx>
        <c:axId val="121327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3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1324429</xdr:colOff>
      <xdr:row>14</xdr:row>
      <xdr:rowOff>12094</xdr:rowOff>
    </xdr:from>
    <xdr:to>
      <xdr:col>47</xdr:col>
      <xdr:colOff>133046</xdr:colOff>
      <xdr:row>29</xdr:row>
      <xdr:rowOff>6046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B2BB7E-E67E-65FF-FFE1-4541F8F45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354264</xdr:colOff>
      <xdr:row>14</xdr:row>
      <xdr:rowOff>0</xdr:rowOff>
    </xdr:from>
    <xdr:to>
      <xdr:col>39</xdr:col>
      <xdr:colOff>713619</xdr:colOff>
      <xdr:row>28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71ACDC-CAF5-1950-D935-C024E1DF9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355601</xdr:colOff>
      <xdr:row>4</xdr:row>
      <xdr:rowOff>76200</xdr:rowOff>
    </xdr:from>
    <xdr:to>
      <xdr:col>15</xdr:col>
      <xdr:colOff>417536</xdr:colOff>
      <xdr:row>22</xdr:row>
      <xdr:rowOff>95686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32B80-F2D0-BE23-809B-87E0D6933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1053829</xdr:colOff>
      <xdr:row>23</xdr:row>
      <xdr:rowOff>175639</xdr:rowOff>
    </xdr:from>
    <xdr:to>
      <xdr:col>11</xdr:col>
      <xdr:colOff>459362</xdr:colOff>
      <xdr:row>39</xdr:row>
      <xdr:rowOff>94575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5C91B-0CFD-B94C-9DD8-3C3417FC0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546188</xdr:colOff>
      <xdr:row>40</xdr:row>
      <xdr:rowOff>75489</xdr:rowOff>
    </xdr:from>
    <xdr:to>
      <xdr:col>6</xdr:col>
      <xdr:colOff>387596</xdr:colOff>
      <xdr:row>52</xdr:row>
      <xdr:rowOff>65974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D1D19D-6D75-3BB0-A9E4-E865E21C1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111404</xdr:colOff>
      <xdr:row>53</xdr:row>
      <xdr:rowOff>56696</xdr:rowOff>
    </xdr:from>
    <xdr:to>
      <xdr:col>15</xdr:col>
      <xdr:colOff>192766</xdr:colOff>
      <xdr:row>73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A2547E-06AC-448D-8DAF-143A9974D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92ED2-A52B-449C-B6B1-528D9E9B8DC7}" name="Table1" displayName="Table1" ref="A1:AJ1471" totalsRowShown="0">
  <autoFilter ref="A1:AJ1471" xr:uid="{03F92ED2-A52B-449C-B6B1-528D9E9B8DC7}"/>
  <tableColumns count="36">
    <tableColumn id="1" xr3:uid="{97BED8DA-D60C-42BE-80B6-BB4E3AABC181}" name="Age"/>
    <tableColumn id="2" xr3:uid="{A5D4E48C-9AC3-4A98-89E6-7FD2D9AD9E39}" name="Attrition"/>
    <tableColumn id="3" xr3:uid="{E36F9BC8-E3B1-495C-AF25-73CCABF7783F}" name="BusinessTravel"/>
    <tableColumn id="4" xr3:uid="{CBFE5533-40F0-4789-8DA2-0689362EBC37}" name="DailyRate" dataDxfId="1"/>
    <tableColumn id="5" xr3:uid="{9B483C9C-B859-45F1-8C66-3A758D60CC87}" name="Department"/>
    <tableColumn id="6" xr3:uid="{EAB5B020-055A-4A46-9E14-B95F922E844C}" name="DistanceFromHome"/>
    <tableColumn id="7" xr3:uid="{05AB0B97-7D57-44DE-B232-3DB6D2213D51}" name="Education"/>
    <tableColumn id="8" xr3:uid="{1B5BC3CB-9E5A-433E-B809-13970ADF72C6}" name="EducationField"/>
    <tableColumn id="9" xr3:uid="{1C1A44E3-0BDF-404C-A6EC-27A50F2B60FC}" name="EmployeeCount"/>
    <tableColumn id="10" xr3:uid="{6C0F28C8-EA6C-4D0A-876E-5D440681282E}" name="EmployeeNumber"/>
    <tableColumn id="11" xr3:uid="{7830B5AE-9624-44D6-BD1D-06CC5351494B}" name="EnvironmentSatisfaction"/>
    <tableColumn id="12" xr3:uid="{9A57C925-B076-4198-A41E-BADB372C0D2B}" name="Gender"/>
    <tableColumn id="13" xr3:uid="{2B5FAD61-CC0C-45A1-B10D-31D05847FF07}" name="HourlyRate"/>
    <tableColumn id="14" xr3:uid="{0238A321-DDD1-4287-9652-60DDDCF802C8}" name="JobInvolvement"/>
    <tableColumn id="15" xr3:uid="{1FE00A64-DB9B-488F-B800-53AB7592ABC8}" name="JobLevel"/>
    <tableColumn id="16" xr3:uid="{BE8CE6D6-2DB4-4255-B099-C2DA08F2A7F3}" name="JobRole"/>
    <tableColumn id="17" xr3:uid="{405C464F-0EFC-48D5-8EB0-6D9F78499994}" name="JobSatisfaction"/>
    <tableColumn id="18" xr3:uid="{1796DC33-D8B1-4BB9-83A3-12ED3975BBB9}" name="MaritalStatus"/>
    <tableColumn id="19" xr3:uid="{2D6863BB-02E0-4A86-8EF8-BAA886D886A8}" name="MonthlyIncome"/>
    <tableColumn id="20" xr3:uid="{21708B1E-D704-439E-8086-3B8EDA1045B1}" name="MonthlyRate"/>
    <tableColumn id="21" xr3:uid="{3FA017E9-8B0F-461E-BB52-8D983CD9135D}" name="NumCompaniesWorked"/>
    <tableColumn id="22" xr3:uid="{B4455C27-A5A4-4531-BB96-28130536C0A2}" name="Over18"/>
    <tableColumn id="23" xr3:uid="{41C91C38-4A89-49DA-A394-4FE48159EE92}" name="OverTime"/>
    <tableColumn id="24" xr3:uid="{9F7D7A44-9D3B-4EC2-BCA6-D5282CB34E93}" name="PercentSalaryHike"/>
    <tableColumn id="25" xr3:uid="{C574C7E8-77F0-4D98-8935-B1906295C6E4}" name="PerformanceRating"/>
    <tableColumn id="26" xr3:uid="{B83FF168-9989-47A3-B3F3-3D80D9782433}" name="RelationshipSatisfaction"/>
    <tableColumn id="27" xr3:uid="{1BDAB113-8A70-42C2-A25C-50AA0DA9FEE6}" name="StandardHours"/>
    <tableColumn id="28" xr3:uid="{DCE58249-142A-4B83-9A84-CA095B97F8BF}" name="StockOptionLevel"/>
    <tableColumn id="29" xr3:uid="{34544753-99F3-4686-8C46-E9AE812F9942}" name="TotalWorkingYears"/>
    <tableColumn id="30" xr3:uid="{C368B801-EFC2-4503-A68E-3BFCCEC07F3E}" name="TrainingTimesLastYear"/>
    <tableColumn id="31" xr3:uid="{1A0CBEE0-4290-4C8B-85E0-B2AF3CF6FBCA}" name="WorkLifeBalance"/>
    <tableColumn id="32" xr3:uid="{3CE924D4-5E16-489B-A196-487F1A90C58C}" name="YearsAtCompany"/>
    <tableColumn id="33" xr3:uid="{E1DD3939-4A6E-4A89-AA87-24087DF547AD}" name="YearsInCurrentRole"/>
    <tableColumn id="34" xr3:uid="{9CD46D7E-6B15-46B7-BEC5-ACA34D9A9B9F}" name="YearsSinceLastPromotion"/>
    <tableColumn id="35" xr3:uid="{70C59381-17F3-4669-816A-0D6EF92B20F8}" name="YearsWithCurrManager"/>
    <tableColumn id="39" xr3:uid="{E8907C52-5D45-41F7-B6A5-3B17E2E0B85A}" name="Salary Group" dataDxfId="0">
      <calculatedColumnFormula>IF(S2&lt;5000,"Low",IF(S2&lt;10000,"Medium","High"))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51DA-6748-4588-9EF7-4687F769116D}">
  <dimension ref="A1:AQ1471"/>
  <sheetViews>
    <sheetView topLeftCell="AH1" zoomScale="95" workbookViewId="0">
      <selection activeCell="AK10" sqref="AK10"/>
    </sheetView>
  </sheetViews>
  <sheetFormatPr defaultRowHeight="14.5" x14ac:dyDescent="0.35"/>
  <cols>
    <col min="1" max="1" width="11.1796875" customWidth="1"/>
    <col min="2" max="2" width="9.6328125" customWidth="1"/>
    <col min="3" max="3" width="24.54296875" customWidth="1"/>
    <col min="4" max="4" width="17.08984375" style="2" customWidth="1"/>
    <col min="5" max="5" width="31.7265625" customWidth="1"/>
    <col min="6" max="6" width="19.453125" customWidth="1"/>
    <col min="7" max="7" width="12.26953125" customWidth="1"/>
    <col min="8" max="8" width="15.453125" customWidth="1"/>
    <col min="9" max="9" width="16.453125" customWidth="1"/>
    <col min="10" max="10" width="17.7265625" customWidth="1"/>
    <col min="11" max="11" width="23.81640625" customWidth="1"/>
    <col min="12" max="12" width="11.1796875" customWidth="1"/>
    <col min="13" max="13" width="12.6328125" customWidth="1"/>
    <col min="14" max="14" width="15.90625" customWidth="1"/>
    <col min="15" max="15" width="16.6328125" customWidth="1"/>
    <col min="16" max="16" width="19.1796875" customWidth="1"/>
    <col min="17" max="17" width="16.6328125" customWidth="1"/>
    <col min="18" max="18" width="21.26953125" customWidth="1"/>
    <col min="19" max="19" width="18" customWidth="1"/>
    <col min="20" max="20" width="16.36328125" customWidth="1"/>
    <col min="21" max="21" width="22.7265625" customWidth="1"/>
    <col min="22" max="22" width="11.08984375" customWidth="1"/>
    <col min="23" max="23" width="10.7265625" customWidth="1"/>
    <col min="24" max="24" width="18.26953125" customWidth="1"/>
    <col min="25" max="25" width="19.54296875" customWidth="1"/>
    <col min="26" max="26" width="23.54296875" customWidth="1"/>
    <col min="27" max="27" width="15.36328125" customWidth="1"/>
    <col min="28" max="29" width="18.36328125" customWidth="1"/>
    <col min="30" max="30" width="21.7265625" customWidth="1"/>
    <col min="31" max="31" width="16.90625" customWidth="1"/>
    <col min="32" max="32" width="21.54296875" customWidth="1"/>
    <col min="33" max="33" width="19.6328125" customWidth="1"/>
    <col min="34" max="34" width="27.36328125" customWidth="1"/>
    <col min="35" max="35" width="22.08984375" customWidth="1"/>
    <col min="36" max="36" width="27.08984375" style="2" customWidth="1"/>
    <col min="37" max="37" width="37.6328125" customWidth="1"/>
    <col min="38" max="38" width="29.54296875" customWidth="1"/>
    <col min="39" max="39" width="25.36328125" customWidth="1"/>
    <col min="40" max="40" width="19.36328125" customWidth="1"/>
    <col min="42" max="42" width="28" customWidth="1"/>
    <col min="43" max="43" width="23.7265625" customWidth="1"/>
  </cols>
  <sheetData>
    <row r="1" spans="1:43" ht="15" thickBot="1" x14ac:dyDescent="0.4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74</v>
      </c>
    </row>
    <row r="2" spans="1:43" ht="18.5" x14ac:dyDescent="0.45">
      <c r="A2">
        <v>41</v>
      </c>
      <c r="B2" t="s">
        <v>35</v>
      </c>
      <c r="C2" t="s">
        <v>36</v>
      </c>
      <c r="D2" s="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s="2" t="str">
        <f t="shared" ref="AJ2:AJ65" si="0">IF(S2&lt;5000,"Low",IF(S2&lt;10000,"Medium","High"))</f>
        <v>Medium</v>
      </c>
      <c r="AL2" s="3" t="s">
        <v>62</v>
      </c>
      <c r="AM2" s="13">
        <f>COUNTA(J2:J1471)</f>
        <v>1470</v>
      </c>
    </row>
    <row r="3" spans="1:43" ht="21" x14ac:dyDescent="0.5">
      <c r="A3">
        <v>49</v>
      </c>
      <c r="B3" t="s">
        <v>43</v>
      </c>
      <c r="C3" t="s">
        <v>44</v>
      </c>
      <c r="D3" s="2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s="2" t="str">
        <f t="shared" si="0"/>
        <v>Medium</v>
      </c>
      <c r="AL3" s="4" t="s">
        <v>63</v>
      </c>
      <c r="AM3" s="12">
        <f>COUNTIF(B2:B1471,"YES")</f>
        <v>237</v>
      </c>
    </row>
    <row r="4" spans="1:43" ht="31" x14ac:dyDescent="0.7">
      <c r="A4">
        <v>37</v>
      </c>
      <c r="B4" t="s">
        <v>35</v>
      </c>
      <c r="C4" t="s">
        <v>36</v>
      </c>
      <c r="D4" s="2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s="2" t="str">
        <f t="shared" si="0"/>
        <v>Low</v>
      </c>
      <c r="AL4" s="4" t="s">
        <v>64</v>
      </c>
      <c r="AM4" s="14">
        <f>237/1470</f>
        <v>0.16122448979591836</v>
      </c>
      <c r="AP4" s="10" t="s">
        <v>68</v>
      </c>
      <c r="AQ4" s="11">
        <f>AM3/AM2</f>
        <v>0.16122448979591836</v>
      </c>
    </row>
    <row r="5" spans="1:43" ht="19" thickBot="1" x14ac:dyDescent="0.5">
      <c r="A5">
        <v>33</v>
      </c>
      <c r="B5" t="s">
        <v>43</v>
      </c>
      <c r="C5" t="s">
        <v>44</v>
      </c>
      <c r="D5" s="2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s="2" t="str">
        <f t="shared" si="0"/>
        <v>Low</v>
      </c>
      <c r="AL5" s="5" t="s">
        <v>65</v>
      </c>
      <c r="AM5" s="15">
        <f>1470-237</f>
        <v>1233</v>
      </c>
    </row>
    <row r="6" spans="1:43" x14ac:dyDescent="0.35">
      <c r="A6">
        <v>27</v>
      </c>
      <c r="B6" t="s">
        <v>43</v>
      </c>
      <c r="C6" t="s">
        <v>36</v>
      </c>
      <c r="D6" s="2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s="2" t="str">
        <f t="shared" si="0"/>
        <v>Low</v>
      </c>
    </row>
    <row r="7" spans="1:43" x14ac:dyDescent="0.35">
      <c r="A7">
        <v>32</v>
      </c>
      <c r="B7" t="s">
        <v>43</v>
      </c>
      <c r="C7" t="s">
        <v>44</v>
      </c>
      <c r="D7" s="2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s="2" t="str">
        <f t="shared" si="0"/>
        <v>Low</v>
      </c>
    </row>
    <row r="8" spans="1:43" x14ac:dyDescent="0.35">
      <c r="A8">
        <v>59</v>
      </c>
      <c r="B8" t="s">
        <v>43</v>
      </c>
      <c r="C8" t="s">
        <v>36</v>
      </c>
      <c r="D8" s="2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s="2" t="str">
        <f t="shared" si="0"/>
        <v>Low</v>
      </c>
      <c r="AQ8" s="1"/>
    </row>
    <row r="9" spans="1:43" x14ac:dyDescent="0.35">
      <c r="A9">
        <v>30</v>
      </c>
      <c r="B9" t="s">
        <v>43</v>
      </c>
      <c r="C9" t="s">
        <v>36</v>
      </c>
      <c r="D9" s="2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s="2" t="str">
        <f t="shared" si="0"/>
        <v>Low</v>
      </c>
      <c r="AL9" s="6" t="s">
        <v>4</v>
      </c>
      <c r="AM9" s="9" t="s">
        <v>66</v>
      </c>
      <c r="AN9" s="9" t="s">
        <v>67</v>
      </c>
    </row>
    <row r="10" spans="1:43" x14ac:dyDescent="0.35">
      <c r="A10">
        <v>38</v>
      </c>
      <c r="B10" t="s">
        <v>43</v>
      </c>
      <c r="C10" t="s">
        <v>44</v>
      </c>
      <c r="D10" s="2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s="2" t="str">
        <f t="shared" si="0"/>
        <v>Medium</v>
      </c>
      <c r="AL10" s="6" t="s">
        <v>37</v>
      </c>
      <c r="AM10" s="7">
        <f>COUNTIFS($E$2:$E$1471,"Sales",$B$2:$B$1471,"yes")</f>
        <v>92</v>
      </c>
      <c r="AN10" s="8">
        <f>COUNTIFS($E$2:$E$1471,"Sales",$B$2:$B$1471,"Yes")/COUNTIF($E$2:$E$1471,"Sales")</f>
        <v>0.20627802690582961</v>
      </c>
    </row>
    <row r="11" spans="1:43" x14ac:dyDescent="0.35">
      <c r="A11">
        <v>36</v>
      </c>
      <c r="B11" t="s">
        <v>43</v>
      </c>
      <c r="C11" t="s">
        <v>36</v>
      </c>
      <c r="D11" s="2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s="2" t="str">
        <f t="shared" si="0"/>
        <v>Medium</v>
      </c>
      <c r="AL11" s="6" t="s">
        <v>45</v>
      </c>
      <c r="AM11" s="7">
        <f>COUNTIFS($E$2:$E$1471,"Research &amp; Development",$B$2:$B$1471,"Yes")</f>
        <v>133</v>
      </c>
      <c r="AN11" s="8">
        <f>COUNTIFS($E$2:$E$1471,"Research &amp; Development",$B$2:$B$1471,"Yes")/ COUNTIF($E$2:$E$1471,"Research &amp; Development")</f>
        <v>0.13839750260145681</v>
      </c>
    </row>
    <row r="12" spans="1:43" x14ac:dyDescent="0.35">
      <c r="A12">
        <v>35</v>
      </c>
      <c r="B12" t="s">
        <v>43</v>
      </c>
      <c r="C12" t="s">
        <v>36</v>
      </c>
      <c r="D12" s="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s="2" t="str">
        <f t="shared" si="0"/>
        <v>Low</v>
      </c>
      <c r="AL12" s="6" t="s">
        <v>61</v>
      </c>
      <c r="AM12" s="7">
        <f>COUNTIFS($E$2:$E$1471,"Human Resources",$B$2:$B$1471,"Yes")</f>
        <v>12</v>
      </c>
      <c r="AN12" s="8">
        <f>COUNTIFS($E$2:$E$1471,"Human Resources",$B$2:$B$1471,"Yes")/COUNTIF($E$2:$E$1471,"Human Resources")</f>
        <v>0.19047619047619047</v>
      </c>
    </row>
    <row r="13" spans="1:43" x14ac:dyDescent="0.35">
      <c r="A13">
        <v>29</v>
      </c>
      <c r="B13" t="s">
        <v>43</v>
      </c>
      <c r="C13" t="s">
        <v>36</v>
      </c>
      <c r="D13" s="2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s="2" t="str">
        <f t="shared" si="0"/>
        <v>Low</v>
      </c>
    </row>
    <row r="14" spans="1:43" x14ac:dyDescent="0.35">
      <c r="A14">
        <v>31</v>
      </c>
      <c r="B14" t="s">
        <v>43</v>
      </c>
      <c r="C14" t="s">
        <v>36</v>
      </c>
      <c r="D14" s="2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s="2" t="str">
        <f t="shared" si="0"/>
        <v>Low</v>
      </c>
    </row>
    <row r="15" spans="1:43" x14ac:dyDescent="0.35">
      <c r="A15">
        <v>34</v>
      </c>
      <c r="B15" t="s">
        <v>43</v>
      </c>
      <c r="C15" t="s">
        <v>36</v>
      </c>
      <c r="D15" s="2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s="2" t="str">
        <f t="shared" si="0"/>
        <v>Low</v>
      </c>
    </row>
    <row r="16" spans="1:43" x14ac:dyDescent="0.35">
      <c r="A16">
        <v>28</v>
      </c>
      <c r="B16" t="s">
        <v>35</v>
      </c>
      <c r="C16" t="s">
        <v>36</v>
      </c>
      <c r="D16" s="2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s="2" t="str">
        <f t="shared" si="0"/>
        <v>Low</v>
      </c>
    </row>
    <row r="17" spans="1:36" x14ac:dyDescent="0.35">
      <c r="A17">
        <v>29</v>
      </c>
      <c r="B17" t="s">
        <v>43</v>
      </c>
      <c r="C17" t="s">
        <v>36</v>
      </c>
      <c r="D17" s="2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s="2" t="str">
        <f t="shared" si="0"/>
        <v>Medium</v>
      </c>
    </row>
    <row r="18" spans="1:36" x14ac:dyDescent="0.35">
      <c r="A18">
        <v>32</v>
      </c>
      <c r="B18" t="s">
        <v>43</v>
      </c>
      <c r="C18" t="s">
        <v>36</v>
      </c>
      <c r="D18" s="2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s="2" t="str">
        <f t="shared" si="0"/>
        <v>Low</v>
      </c>
    </row>
    <row r="19" spans="1:36" x14ac:dyDescent="0.35">
      <c r="A19">
        <v>22</v>
      </c>
      <c r="B19" t="s">
        <v>43</v>
      </c>
      <c r="C19" t="s">
        <v>55</v>
      </c>
      <c r="D19" s="2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s="2" t="str">
        <f t="shared" si="0"/>
        <v>Low</v>
      </c>
    </row>
    <row r="20" spans="1:36" x14ac:dyDescent="0.35">
      <c r="A20">
        <v>53</v>
      </c>
      <c r="B20" t="s">
        <v>43</v>
      </c>
      <c r="C20" t="s">
        <v>36</v>
      </c>
      <c r="D20" s="2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s="2" t="str">
        <f t="shared" si="0"/>
        <v>High</v>
      </c>
    </row>
    <row r="21" spans="1:36" x14ac:dyDescent="0.35">
      <c r="A21">
        <v>38</v>
      </c>
      <c r="B21" t="s">
        <v>43</v>
      </c>
      <c r="C21" t="s">
        <v>36</v>
      </c>
      <c r="D21" s="2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s="2" t="str">
        <f t="shared" si="0"/>
        <v>Low</v>
      </c>
    </row>
    <row r="22" spans="1:36" x14ac:dyDescent="0.35">
      <c r="A22">
        <v>24</v>
      </c>
      <c r="B22" t="s">
        <v>43</v>
      </c>
      <c r="C22" t="s">
        <v>55</v>
      </c>
      <c r="D22" s="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s="2" t="str">
        <f t="shared" si="0"/>
        <v>Low</v>
      </c>
    </row>
    <row r="23" spans="1:36" x14ac:dyDescent="0.35">
      <c r="A23">
        <v>36</v>
      </c>
      <c r="B23" t="s">
        <v>35</v>
      </c>
      <c r="C23" t="s">
        <v>36</v>
      </c>
      <c r="D23" s="2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s="2" t="str">
        <f t="shared" si="0"/>
        <v>Low</v>
      </c>
    </row>
    <row r="24" spans="1:36" x14ac:dyDescent="0.35">
      <c r="A24">
        <v>34</v>
      </c>
      <c r="B24" t="s">
        <v>43</v>
      </c>
      <c r="C24" t="s">
        <v>36</v>
      </c>
      <c r="D24" s="2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s="2" t="str">
        <f t="shared" si="0"/>
        <v>High</v>
      </c>
    </row>
    <row r="25" spans="1:36" x14ac:dyDescent="0.35">
      <c r="A25">
        <v>21</v>
      </c>
      <c r="B25" t="s">
        <v>43</v>
      </c>
      <c r="C25" t="s">
        <v>36</v>
      </c>
      <c r="D25" s="2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s="2" t="str">
        <f t="shared" si="0"/>
        <v>Low</v>
      </c>
    </row>
    <row r="26" spans="1:36" x14ac:dyDescent="0.35">
      <c r="A26">
        <v>34</v>
      </c>
      <c r="B26" t="s">
        <v>35</v>
      </c>
      <c r="C26" t="s">
        <v>36</v>
      </c>
      <c r="D26" s="2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s="2" t="str">
        <f t="shared" si="0"/>
        <v>Low</v>
      </c>
    </row>
    <row r="27" spans="1:36" x14ac:dyDescent="0.35">
      <c r="A27">
        <v>53</v>
      </c>
      <c r="B27" t="s">
        <v>43</v>
      </c>
      <c r="C27" t="s">
        <v>36</v>
      </c>
      <c r="D27" s="2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s="2" t="str">
        <f t="shared" si="0"/>
        <v>High</v>
      </c>
    </row>
    <row r="28" spans="1:36" x14ac:dyDescent="0.35">
      <c r="A28">
        <v>32</v>
      </c>
      <c r="B28" t="s">
        <v>35</v>
      </c>
      <c r="C28" t="s">
        <v>44</v>
      </c>
      <c r="D28" s="2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s="2" t="str">
        <f t="shared" si="0"/>
        <v>Low</v>
      </c>
    </row>
    <row r="29" spans="1:36" x14ac:dyDescent="0.35">
      <c r="A29">
        <v>42</v>
      </c>
      <c r="B29" t="s">
        <v>43</v>
      </c>
      <c r="C29" t="s">
        <v>36</v>
      </c>
      <c r="D29" s="2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s="2" t="str">
        <f t="shared" si="0"/>
        <v>Medium</v>
      </c>
    </row>
    <row r="30" spans="1:36" x14ac:dyDescent="0.35">
      <c r="A30">
        <v>44</v>
      </c>
      <c r="B30" t="s">
        <v>43</v>
      </c>
      <c r="C30" t="s">
        <v>36</v>
      </c>
      <c r="D30" s="2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s="2" t="str">
        <f t="shared" si="0"/>
        <v>High</v>
      </c>
    </row>
    <row r="31" spans="1:36" x14ac:dyDescent="0.35">
      <c r="A31">
        <v>46</v>
      </c>
      <c r="B31" t="s">
        <v>43</v>
      </c>
      <c r="C31" t="s">
        <v>36</v>
      </c>
      <c r="D31" s="2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s="2" t="str">
        <f t="shared" si="0"/>
        <v>High</v>
      </c>
    </row>
    <row r="32" spans="1:36" x14ac:dyDescent="0.35">
      <c r="A32">
        <v>33</v>
      </c>
      <c r="B32" t="s">
        <v>43</v>
      </c>
      <c r="C32" t="s">
        <v>36</v>
      </c>
      <c r="D32" s="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s="2" t="str">
        <f t="shared" si="0"/>
        <v>Low</v>
      </c>
    </row>
    <row r="33" spans="1:36" x14ac:dyDescent="0.35">
      <c r="A33">
        <v>44</v>
      </c>
      <c r="B33" t="s">
        <v>43</v>
      </c>
      <c r="C33" t="s">
        <v>36</v>
      </c>
      <c r="D33" s="2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s="2" t="str">
        <f t="shared" si="0"/>
        <v>Medium</v>
      </c>
    </row>
    <row r="34" spans="1:36" x14ac:dyDescent="0.35">
      <c r="A34">
        <v>30</v>
      </c>
      <c r="B34" t="s">
        <v>43</v>
      </c>
      <c r="C34" t="s">
        <v>36</v>
      </c>
      <c r="D34" s="2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s="2" t="str">
        <f t="shared" si="0"/>
        <v>Low</v>
      </c>
    </row>
    <row r="35" spans="1:36" x14ac:dyDescent="0.35">
      <c r="A35">
        <v>39</v>
      </c>
      <c r="B35" t="s">
        <v>35</v>
      </c>
      <c r="C35" t="s">
        <v>36</v>
      </c>
      <c r="D35" s="2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s="2" t="str">
        <f t="shared" si="0"/>
        <v>Low</v>
      </c>
    </row>
    <row r="36" spans="1:36" x14ac:dyDescent="0.35">
      <c r="A36">
        <v>24</v>
      </c>
      <c r="B36" t="s">
        <v>35</v>
      </c>
      <c r="C36" t="s">
        <v>36</v>
      </c>
      <c r="D36" s="2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s="2" t="str">
        <f t="shared" si="0"/>
        <v>Low</v>
      </c>
    </row>
    <row r="37" spans="1:36" x14ac:dyDescent="0.35">
      <c r="A37">
        <v>43</v>
      </c>
      <c r="B37" t="s">
        <v>43</v>
      </c>
      <c r="C37" t="s">
        <v>36</v>
      </c>
      <c r="D37" s="2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s="2" t="str">
        <f t="shared" si="0"/>
        <v>Low</v>
      </c>
    </row>
    <row r="38" spans="1:36" x14ac:dyDescent="0.35">
      <c r="A38">
        <v>50</v>
      </c>
      <c r="B38" t="s">
        <v>35</v>
      </c>
      <c r="C38" t="s">
        <v>36</v>
      </c>
      <c r="D38" s="2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s="2" t="str">
        <f t="shared" si="0"/>
        <v>Low</v>
      </c>
    </row>
    <row r="39" spans="1:36" x14ac:dyDescent="0.35">
      <c r="A39">
        <v>35</v>
      </c>
      <c r="B39" t="s">
        <v>43</v>
      </c>
      <c r="C39" t="s">
        <v>36</v>
      </c>
      <c r="D39" s="2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s="2" t="str">
        <f t="shared" si="0"/>
        <v>Low</v>
      </c>
    </row>
    <row r="40" spans="1:36" x14ac:dyDescent="0.35">
      <c r="A40">
        <v>36</v>
      </c>
      <c r="B40" t="s">
        <v>43</v>
      </c>
      <c r="C40" t="s">
        <v>36</v>
      </c>
      <c r="D40" s="2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s="2" t="str">
        <f t="shared" si="0"/>
        <v>Low</v>
      </c>
    </row>
    <row r="41" spans="1:36" x14ac:dyDescent="0.35">
      <c r="A41">
        <v>33</v>
      </c>
      <c r="B41" t="s">
        <v>43</v>
      </c>
      <c r="C41" t="s">
        <v>44</v>
      </c>
      <c r="D41" s="2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s="2" t="str">
        <f t="shared" si="0"/>
        <v>Medium</v>
      </c>
    </row>
    <row r="42" spans="1:36" x14ac:dyDescent="0.35">
      <c r="A42">
        <v>35</v>
      </c>
      <c r="B42" t="s">
        <v>43</v>
      </c>
      <c r="C42" t="s">
        <v>36</v>
      </c>
      <c r="D42" s="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s="2" t="str">
        <f t="shared" si="0"/>
        <v>Low</v>
      </c>
    </row>
    <row r="43" spans="1:36" x14ac:dyDescent="0.35">
      <c r="A43">
        <v>27</v>
      </c>
      <c r="B43" t="s">
        <v>43</v>
      </c>
      <c r="C43" t="s">
        <v>36</v>
      </c>
      <c r="D43" s="2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s="2" t="str">
        <f t="shared" si="0"/>
        <v>Low</v>
      </c>
    </row>
    <row r="44" spans="1:36" x14ac:dyDescent="0.35">
      <c r="A44">
        <v>26</v>
      </c>
      <c r="B44" t="s">
        <v>35</v>
      </c>
      <c r="C44" t="s">
        <v>36</v>
      </c>
      <c r="D44" s="2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s="2" t="str">
        <f t="shared" si="0"/>
        <v>Low</v>
      </c>
    </row>
    <row r="45" spans="1:36" x14ac:dyDescent="0.35">
      <c r="A45">
        <v>27</v>
      </c>
      <c r="B45" t="s">
        <v>43</v>
      </c>
      <c r="C45" t="s">
        <v>44</v>
      </c>
      <c r="D45" s="2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s="2" t="str">
        <f t="shared" si="0"/>
        <v>Medium</v>
      </c>
    </row>
    <row r="46" spans="1:36" x14ac:dyDescent="0.35">
      <c r="A46">
        <v>30</v>
      </c>
      <c r="B46" t="s">
        <v>43</v>
      </c>
      <c r="C46" t="s">
        <v>44</v>
      </c>
      <c r="D46" s="2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s="2" t="str">
        <f t="shared" si="0"/>
        <v>Low</v>
      </c>
    </row>
    <row r="47" spans="1:36" x14ac:dyDescent="0.35">
      <c r="A47">
        <v>41</v>
      </c>
      <c r="B47" t="s">
        <v>35</v>
      </c>
      <c r="C47" t="s">
        <v>36</v>
      </c>
      <c r="D47" s="2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s="2" t="str">
        <f t="shared" si="0"/>
        <v>High</v>
      </c>
    </row>
    <row r="48" spans="1:36" x14ac:dyDescent="0.35">
      <c r="A48">
        <v>34</v>
      </c>
      <c r="B48" t="s">
        <v>43</v>
      </c>
      <c r="C48" t="s">
        <v>55</v>
      </c>
      <c r="D48" s="2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s="2" t="str">
        <f t="shared" si="0"/>
        <v>Low</v>
      </c>
    </row>
    <row r="49" spans="1:36" x14ac:dyDescent="0.35">
      <c r="A49">
        <v>37</v>
      </c>
      <c r="B49" t="s">
        <v>43</v>
      </c>
      <c r="C49" t="s">
        <v>36</v>
      </c>
      <c r="D49" s="2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s="2" t="str">
        <f t="shared" si="0"/>
        <v>Low</v>
      </c>
    </row>
    <row r="50" spans="1:36" x14ac:dyDescent="0.35">
      <c r="A50">
        <v>46</v>
      </c>
      <c r="B50" t="s">
        <v>43</v>
      </c>
      <c r="C50" t="s">
        <v>44</v>
      </c>
      <c r="D50" s="2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s="2" t="str">
        <f t="shared" si="0"/>
        <v>Medium</v>
      </c>
    </row>
    <row r="51" spans="1:36" x14ac:dyDescent="0.35">
      <c r="A51">
        <v>35</v>
      </c>
      <c r="B51" t="s">
        <v>43</v>
      </c>
      <c r="C51" t="s">
        <v>36</v>
      </c>
      <c r="D51" s="2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s="2" t="str">
        <f t="shared" si="0"/>
        <v>Low</v>
      </c>
    </row>
    <row r="52" spans="1:36" x14ac:dyDescent="0.35">
      <c r="A52">
        <v>48</v>
      </c>
      <c r="B52" t="s">
        <v>35</v>
      </c>
      <c r="C52" t="s">
        <v>36</v>
      </c>
      <c r="D52" s="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s="2" t="str">
        <f t="shared" si="0"/>
        <v>Medium</v>
      </c>
    </row>
    <row r="53" spans="1:36" x14ac:dyDescent="0.35">
      <c r="A53">
        <v>28</v>
      </c>
      <c r="B53" t="s">
        <v>35</v>
      </c>
      <c r="C53" t="s">
        <v>36</v>
      </c>
      <c r="D53" s="2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s="2" t="str">
        <f t="shared" si="0"/>
        <v>Low</v>
      </c>
    </row>
    <row r="54" spans="1:36" x14ac:dyDescent="0.35">
      <c r="A54">
        <v>44</v>
      </c>
      <c r="B54" t="s">
        <v>43</v>
      </c>
      <c r="C54" t="s">
        <v>36</v>
      </c>
      <c r="D54" s="2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s="2" t="str">
        <f t="shared" si="0"/>
        <v>Medium</v>
      </c>
    </row>
    <row r="55" spans="1:36" x14ac:dyDescent="0.35">
      <c r="A55">
        <v>35</v>
      </c>
      <c r="B55" t="s">
        <v>43</v>
      </c>
      <c r="C55" t="s">
        <v>55</v>
      </c>
      <c r="D55" s="2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s="2" t="str">
        <f t="shared" si="0"/>
        <v>Medium</v>
      </c>
    </row>
    <row r="56" spans="1:36" x14ac:dyDescent="0.35">
      <c r="A56">
        <v>26</v>
      </c>
      <c r="B56" t="s">
        <v>43</v>
      </c>
      <c r="C56" t="s">
        <v>36</v>
      </c>
      <c r="D56" s="2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s="2" t="str">
        <f t="shared" si="0"/>
        <v>Low</v>
      </c>
    </row>
    <row r="57" spans="1:36" x14ac:dyDescent="0.35">
      <c r="A57">
        <v>33</v>
      </c>
      <c r="B57" t="s">
        <v>43</v>
      </c>
      <c r="C57" t="s">
        <v>44</v>
      </c>
      <c r="D57" s="2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s="2" t="str">
        <f t="shared" si="0"/>
        <v>High</v>
      </c>
    </row>
    <row r="58" spans="1:36" x14ac:dyDescent="0.35">
      <c r="A58">
        <v>35</v>
      </c>
      <c r="B58" t="s">
        <v>43</v>
      </c>
      <c r="C58" t="s">
        <v>44</v>
      </c>
      <c r="D58" s="2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s="2" t="str">
        <f t="shared" si="0"/>
        <v>Medium</v>
      </c>
    </row>
    <row r="59" spans="1:36" x14ac:dyDescent="0.35">
      <c r="A59">
        <v>35</v>
      </c>
      <c r="B59" t="s">
        <v>43</v>
      </c>
      <c r="C59" t="s">
        <v>36</v>
      </c>
      <c r="D59" s="2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s="2" t="str">
        <f t="shared" si="0"/>
        <v>Low</v>
      </c>
    </row>
    <row r="60" spans="1:36" x14ac:dyDescent="0.35">
      <c r="A60">
        <v>31</v>
      </c>
      <c r="B60" t="s">
        <v>43</v>
      </c>
      <c r="C60" t="s">
        <v>36</v>
      </c>
      <c r="D60" s="2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s="2" t="str">
        <f t="shared" si="0"/>
        <v>Medium</v>
      </c>
    </row>
    <row r="61" spans="1:36" x14ac:dyDescent="0.35">
      <c r="A61">
        <v>37</v>
      </c>
      <c r="B61" t="s">
        <v>43</v>
      </c>
      <c r="C61" t="s">
        <v>36</v>
      </c>
      <c r="D61" s="2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s="2" t="str">
        <f t="shared" si="0"/>
        <v>Medium</v>
      </c>
    </row>
    <row r="62" spans="1:36" x14ac:dyDescent="0.35">
      <c r="A62">
        <v>32</v>
      </c>
      <c r="B62" t="s">
        <v>43</v>
      </c>
      <c r="C62" t="s">
        <v>36</v>
      </c>
      <c r="D62" s="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s="2" t="str">
        <f t="shared" si="0"/>
        <v>Medium</v>
      </c>
    </row>
    <row r="63" spans="1:36" x14ac:dyDescent="0.35">
      <c r="A63">
        <v>38</v>
      </c>
      <c r="B63" t="s">
        <v>43</v>
      </c>
      <c r="C63" t="s">
        <v>44</v>
      </c>
      <c r="D63" s="2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s="2" t="str">
        <f t="shared" si="0"/>
        <v>Low</v>
      </c>
    </row>
    <row r="64" spans="1:36" x14ac:dyDescent="0.35">
      <c r="A64">
        <v>50</v>
      </c>
      <c r="B64" t="s">
        <v>43</v>
      </c>
      <c r="C64" t="s">
        <v>36</v>
      </c>
      <c r="D64" s="2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s="2" t="str">
        <f t="shared" si="0"/>
        <v>High</v>
      </c>
    </row>
    <row r="65" spans="1:36" x14ac:dyDescent="0.35">
      <c r="A65">
        <v>59</v>
      </c>
      <c r="B65" t="s">
        <v>43</v>
      </c>
      <c r="C65" t="s">
        <v>36</v>
      </c>
      <c r="D65" s="2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s="2" t="str">
        <f t="shared" si="0"/>
        <v>Medium</v>
      </c>
    </row>
    <row r="66" spans="1:36" x14ac:dyDescent="0.35">
      <c r="A66">
        <v>36</v>
      </c>
      <c r="B66" t="s">
        <v>43</v>
      </c>
      <c r="C66" t="s">
        <v>36</v>
      </c>
      <c r="D66" s="2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s="2" t="str">
        <f t="shared" ref="AJ66:AJ129" si="1">IF(S66&lt;5000,"Low",IF(S66&lt;10000,"Medium","High"))</f>
        <v>High</v>
      </c>
    </row>
    <row r="67" spans="1:36" x14ac:dyDescent="0.35">
      <c r="A67">
        <v>55</v>
      </c>
      <c r="B67" t="s">
        <v>43</v>
      </c>
      <c r="C67" t="s">
        <v>36</v>
      </c>
      <c r="D67" s="2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s="2" t="str">
        <f t="shared" si="1"/>
        <v>High</v>
      </c>
    </row>
    <row r="68" spans="1:36" x14ac:dyDescent="0.35">
      <c r="A68">
        <v>36</v>
      </c>
      <c r="B68" t="s">
        <v>43</v>
      </c>
      <c r="C68" t="s">
        <v>44</v>
      </c>
      <c r="D68" s="2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s="2" t="str">
        <f t="shared" si="1"/>
        <v>Medium</v>
      </c>
    </row>
    <row r="69" spans="1:36" x14ac:dyDescent="0.35">
      <c r="A69">
        <v>45</v>
      </c>
      <c r="B69" t="s">
        <v>43</v>
      </c>
      <c r="C69" t="s">
        <v>36</v>
      </c>
      <c r="D69" s="2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s="2" t="str">
        <f t="shared" si="1"/>
        <v>Medium</v>
      </c>
    </row>
    <row r="70" spans="1:36" x14ac:dyDescent="0.35">
      <c r="A70">
        <v>35</v>
      </c>
      <c r="B70" t="s">
        <v>43</v>
      </c>
      <c r="C70" t="s">
        <v>44</v>
      </c>
      <c r="D70" s="2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s="2" t="str">
        <f t="shared" si="1"/>
        <v>Low</v>
      </c>
    </row>
    <row r="71" spans="1:36" x14ac:dyDescent="0.35">
      <c r="A71">
        <v>36</v>
      </c>
      <c r="B71" t="s">
        <v>35</v>
      </c>
      <c r="C71" t="s">
        <v>36</v>
      </c>
      <c r="D71" s="2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s="2" t="str">
        <f t="shared" si="1"/>
        <v>Low</v>
      </c>
    </row>
    <row r="72" spans="1:36" x14ac:dyDescent="0.35">
      <c r="A72">
        <v>59</v>
      </c>
      <c r="B72" t="s">
        <v>43</v>
      </c>
      <c r="C72" t="s">
        <v>44</v>
      </c>
      <c r="D72" s="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s="2" t="str">
        <f t="shared" si="1"/>
        <v>Medium</v>
      </c>
    </row>
    <row r="73" spans="1:36" x14ac:dyDescent="0.35">
      <c r="A73">
        <v>29</v>
      </c>
      <c r="B73" t="s">
        <v>43</v>
      </c>
      <c r="C73" t="s">
        <v>36</v>
      </c>
      <c r="D73" s="2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s="2" t="str">
        <f t="shared" si="1"/>
        <v>Low</v>
      </c>
    </row>
    <row r="74" spans="1:36" x14ac:dyDescent="0.35">
      <c r="A74">
        <v>31</v>
      </c>
      <c r="B74" t="s">
        <v>43</v>
      </c>
      <c r="C74" t="s">
        <v>36</v>
      </c>
      <c r="D74" s="2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s="2" t="str">
        <f t="shared" si="1"/>
        <v>Low</v>
      </c>
    </row>
    <row r="75" spans="1:36" x14ac:dyDescent="0.35">
      <c r="A75">
        <v>32</v>
      </c>
      <c r="B75" t="s">
        <v>43</v>
      </c>
      <c r="C75" t="s">
        <v>36</v>
      </c>
      <c r="D75" s="2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s="2" t="str">
        <f t="shared" si="1"/>
        <v>Medium</v>
      </c>
    </row>
    <row r="76" spans="1:36" x14ac:dyDescent="0.35">
      <c r="A76">
        <v>36</v>
      </c>
      <c r="B76" t="s">
        <v>43</v>
      </c>
      <c r="C76" t="s">
        <v>36</v>
      </c>
      <c r="D76" s="2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s="2" t="str">
        <f t="shared" si="1"/>
        <v>Low</v>
      </c>
    </row>
    <row r="77" spans="1:36" x14ac:dyDescent="0.35">
      <c r="A77">
        <v>31</v>
      </c>
      <c r="B77" t="s">
        <v>43</v>
      </c>
      <c r="C77" t="s">
        <v>36</v>
      </c>
      <c r="D77" s="2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s="2" t="str">
        <f t="shared" si="1"/>
        <v>Low</v>
      </c>
    </row>
    <row r="78" spans="1:36" x14ac:dyDescent="0.35">
      <c r="A78">
        <v>35</v>
      </c>
      <c r="B78" t="s">
        <v>43</v>
      </c>
      <c r="C78" t="s">
        <v>36</v>
      </c>
      <c r="D78" s="2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s="2" t="str">
        <f t="shared" si="1"/>
        <v>Low</v>
      </c>
    </row>
    <row r="79" spans="1:36" x14ac:dyDescent="0.35">
      <c r="A79">
        <v>45</v>
      </c>
      <c r="B79" t="s">
        <v>43</v>
      </c>
      <c r="C79" t="s">
        <v>36</v>
      </c>
      <c r="D79" s="2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s="2" t="str">
        <f t="shared" si="1"/>
        <v>High</v>
      </c>
    </row>
    <row r="80" spans="1:36" x14ac:dyDescent="0.35">
      <c r="A80">
        <v>37</v>
      </c>
      <c r="B80" t="s">
        <v>43</v>
      </c>
      <c r="C80" t="s">
        <v>36</v>
      </c>
      <c r="D80" s="2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s="2" t="str">
        <f t="shared" si="1"/>
        <v>High</v>
      </c>
    </row>
    <row r="81" spans="1:36" x14ac:dyDescent="0.35">
      <c r="A81">
        <v>46</v>
      </c>
      <c r="B81" t="s">
        <v>43</v>
      </c>
      <c r="C81" t="s">
        <v>36</v>
      </c>
      <c r="D81" s="2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s="2" t="str">
        <f t="shared" si="1"/>
        <v>Medium</v>
      </c>
    </row>
    <row r="82" spans="1:36" x14ac:dyDescent="0.35">
      <c r="A82">
        <v>30</v>
      </c>
      <c r="B82" t="s">
        <v>43</v>
      </c>
      <c r="C82" t="s">
        <v>36</v>
      </c>
      <c r="D82" s="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s="2" t="str">
        <f t="shared" si="1"/>
        <v>Medium</v>
      </c>
    </row>
    <row r="83" spans="1:36" x14ac:dyDescent="0.35">
      <c r="A83">
        <v>35</v>
      </c>
      <c r="B83" t="s">
        <v>43</v>
      </c>
      <c r="C83" t="s">
        <v>36</v>
      </c>
      <c r="D83" s="2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s="2" t="str">
        <f t="shared" si="1"/>
        <v>Low</v>
      </c>
    </row>
    <row r="84" spans="1:36" x14ac:dyDescent="0.35">
      <c r="A84">
        <v>55</v>
      </c>
      <c r="B84" t="s">
        <v>43</v>
      </c>
      <c r="C84" t="s">
        <v>36</v>
      </c>
      <c r="D84" s="2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s="2" t="str">
        <f t="shared" si="1"/>
        <v>High</v>
      </c>
    </row>
    <row r="85" spans="1:36" x14ac:dyDescent="0.35">
      <c r="A85">
        <v>38</v>
      </c>
      <c r="B85" t="s">
        <v>43</v>
      </c>
      <c r="C85" t="s">
        <v>55</v>
      </c>
      <c r="D85" s="2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s="2" t="str">
        <f t="shared" si="1"/>
        <v>Medium</v>
      </c>
    </row>
    <row r="86" spans="1:36" x14ac:dyDescent="0.35">
      <c r="A86">
        <v>34</v>
      </c>
      <c r="B86" t="s">
        <v>43</v>
      </c>
      <c r="C86" t="s">
        <v>36</v>
      </c>
      <c r="D86" s="2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s="2" t="str">
        <f t="shared" si="1"/>
        <v>Low</v>
      </c>
    </row>
    <row r="87" spans="1:36" x14ac:dyDescent="0.35">
      <c r="A87">
        <v>56</v>
      </c>
      <c r="B87" t="s">
        <v>43</v>
      </c>
      <c r="C87" t="s">
        <v>36</v>
      </c>
      <c r="D87" s="2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s="2" t="str">
        <f t="shared" si="1"/>
        <v>Medium</v>
      </c>
    </row>
    <row r="88" spans="1:36" x14ac:dyDescent="0.35">
      <c r="A88">
        <v>23</v>
      </c>
      <c r="B88" t="s">
        <v>43</v>
      </c>
      <c r="C88" t="s">
        <v>36</v>
      </c>
      <c r="D88" s="2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s="2" t="str">
        <f t="shared" si="1"/>
        <v>Low</v>
      </c>
    </row>
    <row r="89" spans="1:36" x14ac:dyDescent="0.35">
      <c r="A89">
        <v>51</v>
      </c>
      <c r="B89" t="s">
        <v>43</v>
      </c>
      <c r="C89" t="s">
        <v>36</v>
      </c>
      <c r="D89" s="2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s="2" t="str">
        <f t="shared" si="1"/>
        <v>Low</v>
      </c>
    </row>
    <row r="90" spans="1:36" x14ac:dyDescent="0.35">
      <c r="A90">
        <v>30</v>
      </c>
      <c r="B90" t="s">
        <v>43</v>
      </c>
      <c r="C90" t="s">
        <v>36</v>
      </c>
      <c r="D90" s="2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s="2" t="str">
        <f t="shared" si="1"/>
        <v>Low</v>
      </c>
    </row>
    <row r="91" spans="1:36" x14ac:dyDescent="0.35">
      <c r="A91">
        <v>46</v>
      </c>
      <c r="B91" t="s">
        <v>35</v>
      </c>
      <c r="C91" t="s">
        <v>36</v>
      </c>
      <c r="D91" s="2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s="2" t="str">
        <f t="shared" si="1"/>
        <v>Medium</v>
      </c>
    </row>
    <row r="92" spans="1:36" x14ac:dyDescent="0.35">
      <c r="A92">
        <v>40</v>
      </c>
      <c r="B92" t="s">
        <v>43</v>
      </c>
      <c r="C92" t="s">
        <v>44</v>
      </c>
      <c r="D92" s="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s="2" t="str">
        <f t="shared" si="1"/>
        <v>High</v>
      </c>
    </row>
    <row r="93" spans="1:36" x14ac:dyDescent="0.35">
      <c r="A93">
        <v>51</v>
      </c>
      <c r="B93" t="s">
        <v>43</v>
      </c>
      <c r="C93" t="s">
        <v>36</v>
      </c>
      <c r="D93" s="2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s="2" t="str">
        <f t="shared" si="1"/>
        <v>Medium</v>
      </c>
    </row>
    <row r="94" spans="1:36" x14ac:dyDescent="0.35">
      <c r="A94">
        <v>30</v>
      </c>
      <c r="B94" t="s">
        <v>43</v>
      </c>
      <c r="C94" t="s">
        <v>36</v>
      </c>
      <c r="D94" s="2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s="2" t="str">
        <f t="shared" si="1"/>
        <v>Medium</v>
      </c>
    </row>
    <row r="95" spans="1:36" x14ac:dyDescent="0.35">
      <c r="A95">
        <v>46</v>
      </c>
      <c r="B95" t="s">
        <v>43</v>
      </c>
      <c r="C95" t="s">
        <v>44</v>
      </c>
      <c r="D95" s="2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s="2" t="str">
        <f t="shared" si="1"/>
        <v>High</v>
      </c>
    </row>
    <row r="96" spans="1:36" x14ac:dyDescent="0.35">
      <c r="A96">
        <v>32</v>
      </c>
      <c r="B96" t="s">
        <v>43</v>
      </c>
      <c r="C96" t="s">
        <v>36</v>
      </c>
      <c r="D96" s="2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s="2" t="str">
        <f t="shared" si="1"/>
        <v>Medium</v>
      </c>
    </row>
    <row r="97" spans="1:36" x14ac:dyDescent="0.35">
      <c r="A97">
        <v>54</v>
      </c>
      <c r="B97" t="s">
        <v>43</v>
      </c>
      <c r="C97" t="s">
        <v>36</v>
      </c>
      <c r="D97" s="2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s="2" t="str">
        <f t="shared" si="1"/>
        <v>High</v>
      </c>
    </row>
    <row r="98" spans="1:36" x14ac:dyDescent="0.35">
      <c r="A98">
        <v>24</v>
      </c>
      <c r="B98" t="s">
        <v>43</v>
      </c>
      <c r="C98" t="s">
        <v>36</v>
      </c>
      <c r="D98" s="2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s="2" t="str">
        <f t="shared" si="1"/>
        <v>Low</v>
      </c>
    </row>
    <row r="99" spans="1:36" x14ac:dyDescent="0.35">
      <c r="A99">
        <v>28</v>
      </c>
      <c r="B99" t="s">
        <v>43</v>
      </c>
      <c r="C99" t="s">
        <v>55</v>
      </c>
      <c r="D99" s="2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s="2" t="str">
        <f t="shared" si="1"/>
        <v>Low</v>
      </c>
    </row>
    <row r="100" spans="1:36" x14ac:dyDescent="0.35">
      <c r="A100">
        <v>58</v>
      </c>
      <c r="B100" t="s">
        <v>43</v>
      </c>
      <c r="C100" t="s">
        <v>36</v>
      </c>
      <c r="D100" s="2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s="2" t="str">
        <f t="shared" si="1"/>
        <v>High</v>
      </c>
    </row>
    <row r="101" spans="1:36" x14ac:dyDescent="0.35">
      <c r="A101">
        <v>44</v>
      </c>
      <c r="B101" t="s">
        <v>43</v>
      </c>
      <c r="C101" t="s">
        <v>55</v>
      </c>
      <c r="D101" s="2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s="2" t="str">
        <f t="shared" si="1"/>
        <v>Low</v>
      </c>
    </row>
    <row r="102" spans="1:36" x14ac:dyDescent="0.35">
      <c r="A102">
        <v>37</v>
      </c>
      <c r="B102" t="s">
        <v>35</v>
      </c>
      <c r="C102" t="s">
        <v>36</v>
      </c>
      <c r="D102" s="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s="2" t="str">
        <f t="shared" si="1"/>
        <v>Low</v>
      </c>
    </row>
    <row r="103" spans="1:36" x14ac:dyDescent="0.35">
      <c r="A103">
        <v>32</v>
      </c>
      <c r="B103" t="s">
        <v>43</v>
      </c>
      <c r="C103" t="s">
        <v>36</v>
      </c>
      <c r="D103" s="2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s="2" t="str">
        <f t="shared" si="1"/>
        <v>Low</v>
      </c>
    </row>
    <row r="104" spans="1:36" x14ac:dyDescent="0.35">
      <c r="A104">
        <v>20</v>
      </c>
      <c r="B104" t="s">
        <v>35</v>
      </c>
      <c r="C104" t="s">
        <v>44</v>
      </c>
      <c r="D104" s="2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s="2" t="str">
        <f t="shared" si="1"/>
        <v>Low</v>
      </c>
    </row>
    <row r="105" spans="1:36" x14ac:dyDescent="0.35">
      <c r="A105">
        <v>34</v>
      </c>
      <c r="B105" t="s">
        <v>43</v>
      </c>
      <c r="C105" t="s">
        <v>36</v>
      </c>
      <c r="D105" s="2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s="2" t="str">
        <f t="shared" si="1"/>
        <v>Low</v>
      </c>
    </row>
    <row r="106" spans="1:36" x14ac:dyDescent="0.35">
      <c r="A106">
        <v>37</v>
      </c>
      <c r="B106" t="s">
        <v>43</v>
      </c>
      <c r="C106" t="s">
        <v>55</v>
      </c>
      <c r="D106" s="2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s="2" t="str">
        <f t="shared" si="1"/>
        <v>Medium</v>
      </c>
    </row>
    <row r="107" spans="1:36" x14ac:dyDescent="0.35">
      <c r="A107">
        <v>59</v>
      </c>
      <c r="B107" t="s">
        <v>43</v>
      </c>
      <c r="C107" t="s">
        <v>55</v>
      </c>
      <c r="D107" s="2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s="2" t="str">
        <f t="shared" si="1"/>
        <v>High</v>
      </c>
    </row>
    <row r="108" spans="1:36" x14ac:dyDescent="0.35">
      <c r="A108">
        <v>50</v>
      </c>
      <c r="B108" t="s">
        <v>43</v>
      </c>
      <c r="C108" t="s">
        <v>44</v>
      </c>
      <c r="D108" s="2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s="2" t="str">
        <f t="shared" si="1"/>
        <v>High</v>
      </c>
    </row>
    <row r="109" spans="1:36" x14ac:dyDescent="0.35">
      <c r="A109">
        <v>25</v>
      </c>
      <c r="B109" t="s">
        <v>35</v>
      </c>
      <c r="C109" t="s">
        <v>36</v>
      </c>
      <c r="D109" s="2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s="2" t="str">
        <f t="shared" si="1"/>
        <v>Medium</v>
      </c>
    </row>
    <row r="110" spans="1:36" x14ac:dyDescent="0.35">
      <c r="A110">
        <v>25</v>
      </c>
      <c r="B110" t="s">
        <v>43</v>
      </c>
      <c r="C110" t="s">
        <v>36</v>
      </c>
      <c r="D110" s="2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s="2" t="str">
        <f t="shared" si="1"/>
        <v>Low</v>
      </c>
    </row>
    <row r="111" spans="1:36" x14ac:dyDescent="0.35">
      <c r="A111">
        <v>22</v>
      </c>
      <c r="B111" t="s">
        <v>43</v>
      </c>
      <c r="C111" t="s">
        <v>36</v>
      </c>
      <c r="D111" s="2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s="2" t="str">
        <f t="shared" si="1"/>
        <v>Low</v>
      </c>
    </row>
    <row r="112" spans="1:36" x14ac:dyDescent="0.35">
      <c r="A112">
        <v>51</v>
      </c>
      <c r="B112" t="s">
        <v>43</v>
      </c>
      <c r="C112" t="s">
        <v>44</v>
      </c>
      <c r="D112" s="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s="2" t="str">
        <f t="shared" si="1"/>
        <v>Medium</v>
      </c>
    </row>
    <row r="113" spans="1:36" x14ac:dyDescent="0.35">
      <c r="A113">
        <v>34</v>
      </c>
      <c r="B113" t="s">
        <v>35</v>
      </c>
      <c r="C113" t="s">
        <v>44</v>
      </c>
      <c r="D113" s="2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s="2" t="str">
        <f t="shared" si="1"/>
        <v>Medium</v>
      </c>
    </row>
    <row r="114" spans="1:36" x14ac:dyDescent="0.35">
      <c r="A114">
        <v>54</v>
      </c>
      <c r="B114" t="s">
        <v>43</v>
      </c>
      <c r="C114" t="s">
        <v>55</v>
      </c>
      <c r="D114" s="2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s="2" t="str">
        <f t="shared" si="1"/>
        <v>High</v>
      </c>
    </row>
    <row r="115" spans="1:36" x14ac:dyDescent="0.35">
      <c r="A115">
        <v>24</v>
      </c>
      <c r="B115" t="s">
        <v>43</v>
      </c>
      <c r="C115" t="s">
        <v>36</v>
      </c>
      <c r="D115" s="2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s="2" t="str">
        <f t="shared" si="1"/>
        <v>Low</v>
      </c>
    </row>
    <row r="116" spans="1:36" x14ac:dyDescent="0.35">
      <c r="A116">
        <v>34</v>
      </c>
      <c r="B116" t="s">
        <v>43</v>
      </c>
      <c r="C116" t="s">
        <v>36</v>
      </c>
      <c r="D116" s="2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s="2" t="str">
        <f t="shared" si="1"/>
        <v>Low</v>
      </c>
    </row>
    <row r="117" spans="1:36" x14ac:dyDescent="0.35">
      <c r="A117">
        <v>37</v>
      </c>
      <c r="B117" t="s">
        <v>43</v>
      </c>
      <c r="C117" t="s">
        <v>36</v>
      </c>
      <c r="D117" s="2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s="2" t="str">
        <f t="shared" si="1"/>
        <v>Medium</v>
      </c>
    </row>
    <row r="118" spans="1:36" x14ac:dyDescent="0.35">
      <c r="A118">
        <v>34</v>
      </c>
      <c r="B118" t="s">
        <v>43</v>
      </c>
      <c r="C118" t="s">
        <v>36</v>
      </c>
      <c r="D118" s="2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s="2" t="str">
        <f t="shared" si="1"/>
        <v>High</v>
      </c>
    </row>
    <row r="119" spans="1:36" x14ac:dyDescent="0.35">
      <c r="A119">
        <v>36</v>
      </c>
      <c r="B119" t="s">
        <v>43</v>
      </c>
      <c r="C119" t="s">
        <v>44</v>
      </c>
      <c r="D119" s="2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s="2" t="str">
        <f t="shared" si="1"/>
        <v>Medium</v>
      </c>
    </row>
    <row r="120" spans="1:36" x14ac:dyDescent="0.35">
      <c r="A120">
        <v>36</v>
      </c>
      <c r="B120" t="s">
        <v>43</v>
      </c>
      <c r="C120" t="s">
        <v>36</v>
      </c>
      <c r="D120" s="2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s="2" t="str">
        <f t="shared" si="1"/>
        <v>Low</v>
      </c>
    </row>
    <row r="121" spans="1:36" x14ac:dyDescent="0.35">
      <c r="A121">
        <v>43</v>
      </c>
      <c r="B121" t="s">
        <v>43</v>
      </c>
      <c r="C121" t="s">
        <v>44</v>
      </c>
      <c r="D121" s="2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s="2" t="str">
        <f t="shared" si="1"/>
        <v>High</v>
      </c>
    </row>
    <row r="122" spans="1:36" x14ac:dyDescent="0.35">
      <c r="A122">
        <v>30</v>
      </c>
      <c r="B122" t="s">
        <v>43</v>
      </c>
      <c r="C122" t="s">
        <v>44</v>
      </c>
      <c r="D122" s="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s="2" t="str">
        <f t="shared" si="1"/>
        <v>Low</v>
      </c>
    </row>
    <row r="123" spans="1:36" x14ac:dyDescent="0.35">
      <c r="A123">
        <v>33</v>
      </c>
      <c r="B123" t="s">
        <v>43</v>
      </c>
      <c r="C123" t="s">
        <v>55</v>
      </c>
      <c r="D123" s="2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s="2" t="str">
        <f t="shared" si="1"/>
        <v>Medium</v>
      </c>
    </row>
    <row r="124" spans="1:36" x14ac:dyDescent="0.35">
      <c r="A124">
        <v>56</v>
      </c>
      <c r="B124" t="s">
        <v>35</v>
      </c>
      <c r="C124" t="s">
        <v>36</v>
      </c>
      <c r="D124" s="2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s="2" t="str">
        <f t="shared" si="1"/>
        <v>Low</v>
      </c>
    </row>
    <row r="125" spans="1:36" x14ac:dyDescent="0.35">
      <c r="A125">
        <v>51</v>
      </c>
      <c r="B125" t="s">
        <v>43</v>
      </c>
      <c r="C125" t="s">
        <v>36</v>
      </c>
      <c r="D125" s="2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s="2" t="str">
        <f t="shared" si="1"/>
        <v>High</v>
      </c>
    </row>
    <row r="126" spans="1:36" x14ac:dyDescent="0.35">
      <c r="A126">
        <v>31</v>
      </c>
      <c r="B126" t="s">
        <v>35</v>
      </c>
      <c r="C126" t="s">
        <v>36</v>
      </c>
      <c r="D126" s="2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s="2" t="str">
        <f t="shared" si="1"/>
        <v>Medium</v>
      </c>
    </row>
    <row r="127" spans="1:36" x14ac:dyDescent="0.35">
      <c r="A127">
        <v>26</v>
      </c>
      <c r="B127" t="s">
        <v>43</v>
      </c>
      <c r="C127" t="s">
        <v>36</v>
      </c>
      <c r="D127" s="2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s="2" t="str">
        <f t="shared" si="1"/>
        <v>Low</v>
      </c>
    </row>
    <row r="128" spans="1:36" x14ac:dyDescent="0.35">
      <c r="A128">
        <v>58</v>
      </c>
      <c r="B128" t="s">
        <v>35</v>
      </c>
      <c r="C128" t="s">
        <v>36</v>
      </c>
      <c r="D128" s="2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s="2" t="str">
        <f t="shared" si="1"/>
        <v>High</v>
      </c>
    </row>
    <row r="129" spans="1:36" x14ac:dyDescent="0.35">
      <c r="A129">
        <v>19</v>
      </c>
      <c r="B129" t="s">
        <v>35</v>
      </c>
      <c r="C129" t="s">
        <v>36</v>
      </c>
      <c r="D129" s="2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s="2" t="str">
        <f t="shared" si="1"/>
        <v>Low</v>
      </c>
    </row>
    <row r="130" spans="1:36" x14ac:dyDescent="0.35">
      <c r="A130">
        <v>22</v>
      </c>
      <c r="B130" t="s">
        <v>43</v>
      </c>
      <c r="C130" t="s">
        <v>36</v>
      </c>
      <c r="D130" s="2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s="2" t="str">
        <f t="shared" ref="AJ130:AJ193" si="2">IF(S130&lt;5000,"Low",IF(S130&lt;10000,"Medium","High"))</f>
        <v>Low</v>
      </c>
    </row>
    <row r="131" spans="1:36" x14ac:dyDescent="0.35">
      <c r="A131">
        <v>49</v>
      </c>
      <c r="B131" t="s">
        <v>43</v>
      </c>
      <c r="C131" t="s">
        <v>36</v>
      </c>
      <c r="D131" s="2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s="2" t="str">
        <f t="shared" si="2"/>
        <v>Medium</v>
      </c>
    </row>
    <row r="132" spans="1:36" x14ac:dyDescent="0.35">
      <c r="A132">
        <v>43</v>
      </c>
      <c r="B132" t="s">
        <v>43</v>
      </c>
      <c r="C132" t="s">
        <v>44</v>
      </c>
      <c r="D132" s="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s="2" t="str">
        <f t="shared" si="2"/>
        <v>Low</v>
      </c>
    </row>
    <row r="133" spans="1:36" x14ac:dyDescent="0.35">
      <c r="A133">
        <v>50</v>
      </c>
      <c r="B133" t="s">
        <v>43</v>
      </c>
      <c r="C133" t="s">
        <v>44</v>
      </c>
      <c r="D133" s="2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s="2" t="str">
        <f t="shared" si="2"/>
        <v>Medium</v>
      </c>
    </row>
    <row r="134" spans="1:36" x14ac:dyDescent="0.35">
      <c r="A134">
        <v>31</v>
      </c>
      <c r="B134" t="s">
        <v>35</v>
      </c>
      <c r="C134" t="s">
        <v>36</v>
      </c>
      <c r="D134" s="2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s="2" t="str">
        <f t="shared" si="2"/>
        <v>Low</v>
      </c>
    </row>
    <row r="135" spans="1:36" x14ac:dyDescent="0.35">
      <c r="A135">
        <v>41</v>
      </c>
      <c r="B135" t="s">
        <v>43</v>
      </c>
      <c r="C135" t="s">
        <v>36</v>
      </c>
      <c r="D135" s="2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s="2" t="str">
        <f t="shared" si="2"/>
        <v>Medium</v>
      </c>
    </row>
    <row r="136" spans="1:36" x14ac:dyDescent="0.35">
      <c r="A136">
        <v>26</v>
      </c>
      <c r="B136" t="s">
        <v>43</v>
      </c>
      <c r="C136" t="s">
        <v>36</v>
      </c>
      <c r="D136" s="2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s="2" t="str">
        <f t="shared" si="2"/>
        <v>Low</v>
      </c>
    </row>
    <row r="137" spans="1:36" x14ac:dyDescent="0.35">
      <c r="A137">
        <v>36</v>
      </c>
      <c r="B137" t="s">
        <v>43</v>
      </c>
      <c r="C137" t="s">
        <v>36</v>
      </c>
      <c r="D137" s="2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s="2" t="str">
        <f t="shared" si="2"/>
        <v>Low</v>
      </c>
    </row>
    <row r="138" spans="1:36" x14ac:dyDescent="0.35">
      <c r="A138">
        <v>51</v>
      </c>
      <c r="B138" t="s">
        <v>35</v>
      </c>
      <c r="C138" t="s">
        <v>44</v>
      </c>
      <c r="D138" s="2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s="2" t="str">
        <f t="shared" si="2"/>
        <v>High</v>
      </c>
    </row>
    <row r="139" spans="1:36" x14ac:dyDescent="0.35">
      <c r="A139">
        <v>39</v>
      </c>
      <c r="B139" t="s">
        <v>43</v>
      </c>
      <c r="C139" t="s">
        <v>36</v>
      </c>
      <c r="D139" s="2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s="2" t="str">
        <f t="shared" si="2"/>
        <v>Medium</v>
      </c>
    </row>
    <row r="140" spans="1:36" x14ac:dyDescent="0.35">
      <c r="A140">
        <v>25</v>
      </c>
      <c r="B140" t="s">
        <v>43</v>
      </c>
      <c r="C140" t="s">
        <v>36</v>
      </c>
      <c r="D140" s="2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s="2" t="str">
        <f t="shared" si="2"/>
        <v>Medium</v>
      </c>
    </row>
    <row r="141" spans="1:36" x14ac:dyDescent="0.35">
      <c r="A141">
        <v>30</v>
      </c>
      <c r="B141" t="s">
        <v>43</v>
      </c>
      <c r="C141" t="s">
        <v>36</v>
      </c>
      <c r="D141" s="2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s="2" t="str">
        <f t="shared" si="2"/>
        <v>Medium</v>
      </c>
    </row>
    <row r="142" spans="1:36" x14ac:dyDescent="0.35">
      <c r="A142">
        <v>32</v>
      </c>
      <c r="B142" t="s">
        <v>35</v>
      </c>
      <c r="C142" t="s">
        <v>36</v>
      </c>
      <c r="D142" s="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s="2" t="str">
        <f t="shared" si="2"/>
        <v>Low</v>
      </c>
    </row>
    <row r="143" spans="1:36" x14ac:dyDescent="0.35">
      <c r="A143">
        <v>45</v>
      </c>
      <c r="B143" t="s">
        <v>43</v>
      </c>
      <c r="C143" t="s">
        <v>36</v>
      </c>
      <c r="D143" s="2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s="2" t="str">
        <f t="shared" si="2"/>
        <v>Low</v>
      </c>
    </row>
    <row r="144" spans="1:36" x14ac:dyDescent="0.35">
      <c r="A144">
        <v>38</v>
      </c>
      <c r="B144" t="s">
        <v>43</v>
      </c>
      <c r="C144" t="s">
        <v>36</v>
      </c>
      <c r="D144" s="2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s="2" t="str">
        <f t="shared" si="2"/>
        <v>Low</v>
      </c>
    </row>
    <row r="145" spans="1:36" x14ac:dyDescent="0.35">
      <c r="A145">
        <v>30</v>
      </c>
      <c r="B145" t="s">
        <v>43</v>
      </c>
      <c r="C145" t="s">
        <v>36</v>
      </c>
      <c r="D145" s="2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s="2" t="str">
        <f t="shared" si="2"/>
        <v>Low</v>
      </c>
    </row>
    <row r="146" spans="1:36" x14ac:dyDescent="0.35">
      <c r="A146">
        <v>32</v>
      </c>
      <c r="B146" t="s">
        <v>43</v>
      </c>
      <c r="C146" t="s">
        <v>44</v>
      </c>
      <c r="D146" s="2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s="2" t="str">
        <f t="shared" si="2"/>
        <v>Low</v>
      </c>
    </row>
    <row r="147" spans="1:36" x14ac:dyDescent="0.35">
      <c r="A147">
        <v>30</v>
      </c>
      <c r="B147" t="s">
        <v>43</v>
      </c>
      <c r="C147" t="s">
        <v>36</v>
      </c>
      <c r="D147" s="2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s="2" t="str">
        <f t="shared" si="2"/>
        <v>Low</v>
      </c>
    </row>
    <row r="148" spans="1:36" x14ac:dyDescent="0.35">
      <c r="A148">
        <v>30</v>
      </c>
      <c r="B148" t="s">
        <v>43</v>
      </c>
      <c r="C148" t="s">
        <v>36</v>
      </c>
      <c r="D148" s="2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s="2" t="str">
        <f t="shared" si="2"/>
        <v>Low</v>
      </c>
    </row>
    <row r="149" spans="1:36" x14ac:dyDescent="0.35">
      <c r="A149">
        <v>41</v>
      </c>
      <c r="B149" t="s">
        <v>43</v>
      </c>
      <c r="C149" t="s">
        <v>44</v>
      </c>
      <c r="D149" s="2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s="2" t="str">
        <f t="shared" si="2"/>
        <v>High</v>
      </c>
    </row>
    <row r="150" spans="1:36" x14ac:dyDescent="0.35">
      <c r="A150">
        <v>41</v>
      </c>
      <c r="B150" t="s">
        <v>43</v>
      </c>
      <c r="C150" t="s">
        <v>36</v>
      </c>
      <c r="D150" s="2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s="2" t="str">
        <f t="shared" si="2"/>
        <v>Low</v>
      </c>
    </row>
    <row r="151" spans="1:36" x14ac:dyDescent="0.35">
      <c r="A151">
        <v>19</v>
      </c>
      <c r="B151" t="s">
        <v>43</v>
      </c>
      <c r="C151" t="s">
        <v>36</v>
      </c>
      <c r="D151" s="2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s="2" t="str">
        <f t="shared" si="2"/>
        <v>Low</v>
      </c>
    </row>
    <row r="152" spans="1:36" x14ac:dyDescent="0.35">
      <c r="A152">
        <v>40</v>
      </c>
      <c r="B152" t="s">
        <v>43</v>
      </c>
      <c r="C152" t="s">
        <v>44</v>
      </c>
      <c r="D152" s="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s="2" t="str">
        <f t="shared" si="2"/>
        <v>Medium</v>
      </c>
    </row>
    <row r="153" spans="1:36" x14ac:dyDescent="0.35">
      <c r="A153">
        <v>35</v>
      </c>
      <c r="B153" t="s">
        <v>43</v>
      </c>
      <c r="C153" t="s">
        <v>36</v>
      </c>
      <c r="D153" s="2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s="2" t="str">
        <f t="shared" si="2"/>
        <v>Medium</v>
      </c>
    </row>
    <row r="154" spans="1:36" x14ac:dyDescent="0.35">
      <c r="A154">
        <v>53</v>
      </c>
      <c r="B154" t="s">
        <v>43</v>
      </c>
      <c r="C154" t="s">
        <v>36</v>
      </c>
      <c r="D154" s="2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s="2" t="str">
        <f t="shared" si="2"/>
        <v>Low</v>
      </c>
    </row>
    <row r="155" spans="1:36" x14ac:dyDescent="0.35">
      <c r="A155">
        <v>45</v>
      </c>
      <c r="B155" t="s">
        <v>43</v>
      </c>
      <c r="C155" t="s">
        <v>36</v>
      </c>
      <c r="D155" s="2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s="2" t="str">
        <f t="shared" si="2"/>
        <v>Low</v>
      </c>
    </row>
    <row r="156" spans="1:36" x14ac:dyDescent="0.35">
      <c r="A156">
        <v>32</v>
      </c>
      <c r="B156" t="s">
        <v>43</v>
      </c>
      <c r="C156" t="s">
        <v>44</v>
      </c>
      <c r="D156" s="2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s="2" t="str">
        <f t="shared" si="2"/>
        <v>Medium</v>
      </c>
    </row>
    <row r="157" spans="1:36" x14ac:dyDescent="0.35">
      <c r="A157">
        <v>29</v>
      </c>
      <c r="B157" t="s">
        <v>43</v>
      </c>
      <c r="C157" t="s">
        <v>55</v>
      </c>
      <c r="D157" s="2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s="2" t="str">
        <f t="shared" si="2"/>
        <v>Low</v>
      </c>
    </row>
    <row r="158" spans="1:36" x14ac:dyDescent="0.35">
      <c r="A158">
        <v>51</v>
      </c>
      <c r="B158" t="s">
        <v>43</v>
      </c>
      <c r="C158" t="s">
        <v>36</v>
      </c>
      <c r="D158" s="2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s="2" t="str">
        <f t="shared" si="2"/>
        <v>Medium</v>
      </c>
    </row>
    <row r="159" spans="1:36" x14ac:dyDescent="0.35">
      <c r="A159">
        <v>58</v>
      </c>
      <c r="B159" t="s">
        <v>43</v>
      </c>
      <c r="C159" t="s">
        <v>36</v>
      </c>
      <c r="D159" s="2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s="2" t="str">
        <f t="shared" si="2"/>
        <v>Low</v>
      </c>
    </row>
    <row r="160" spans="1:36" x14ac:dyDescent="0.35">
      <c r="A160">
        <v>40</v>
      </c>
      <c r="B160" t="s">
        <v>43</v>
      </c>
      <c r="C160" t="s">
        <v>36</v>
      </c>
      <c r="D160" s="2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s="2" t="str">
        <f t="shared" si="2"/>
        <v>High</v>
      </c>
    </row>
    <row r="161" spans="1:36" x14ac:dyDescent="0.35">
      <c r="A161">
        <v>34</v>
      </c>
      <c r="B161" t="s">
        <v>43</v>
      </c>
      <c r="C161" t="s">
        <v>44</v>
      </c>
      <c r="D161" s="2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s="2" t="str">
        <f t="shared" si="2"/>
        <v>Low</v>
      </c>
    </row>
    <row r="162" spans="1:36" x14ac:dyDescent="0.35">
      <c r="A162">
        <v>22</v>
      </c>
      <c r="B162" t="s">
        <v>43</v>
      </c>
      <c r="C162" t="s">
        <v>36</v>
      </c>
      <c r="D162" s="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s="2" t="str">
        <f t="shared" si="2"/>
        <v>Low</v>
      </c>
    </row>
    <row r="163" spans="1:36" x14ac:dyDescent="0.35">
      <c r="A163">
        <v>27</v>
      </c>
      <c r="B163" t="s">
        <v>43</v>
      </c>
      <c r="C163" t="s">
        <v>55</v>
      </c>
      <c r="D163" s="2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s="2" t="str">
        <f t="shared" si="2"/>
        <v>Low</v>
      </c>
    </row>
    <row r="164" spans="1:36" x14ac:dyDescent="0.35">
      <c r="A164">
        <v>28</v>
      </c>
      <c r="B164" t="s">
        <v>43</v>
      </c>
      <c r="C164" t="s">
        <v>36</v>
      </c>
      <c r="D164" s="2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s="2" t="str">
        <f t="shared" si="2"/>
        <v>Low</v>
      </c>
    </row>
    <row r="165" spans="1:36" x14ac:dyDescent="0.35">
      <c r="A165">
        <v>57</v>
      </c>
      <c r="B165" t="s">
        <v>43</v>
      </c>
      <c r="C165" t="s">
        <v>36</v>
      </c>
      <c r="D165" s="2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s="2" t="str">
        <f t="shared" si="2"/>
        <v>Medium</v>
      </c>
    </row>
    <row r="166" spans="1:36" x14ac:dyDescent="0.35">
      <c r="A166">
        <v>27</v>
      </c>
      <c r="B166" t="s">
        <v>43</v>
      </c>
      <c r="C166" t="s">
        <v>55</v>
      </c>
      <c r="D166" s="2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s="2" t="str">
        <f t="shared" si="2"/>
        <v>Low</v>
      </c>
    </row>
    <row r="167" spans="1:36" x14ac:dyDescent="0.35">
      <c r="A167">
        <v>50</v>
      </c>
      <c r="B167" t="s">
        <v>43</v>
      </c>
      <c r="C167" t="s">
        <v>36</v>
      </c>
      <c r="D167" s="2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s="2" t="str">
        <f t="shared" si="2"/>
        <v>High</v>
      </c>
    </row>
    <row r="168" spans="1:36" x14ac:dyDescent="0.35">
      <c r="A168">
        <v>41</v>
      </c>
      <c r="B168" t="s">
        <v>43</v>
      </c>
      <c r="C168" t="s">
        <v>36</v>
      </c>
      <c r="D168" s="2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s="2" t="str">
        <f t="shared" si="2"/>
        <v>Low</v>
      </c>
    </row>
    <row r="169" spans="1:36" x14ac:dyDescent="0.35">
      <c r="A169">
        <v>30</v>
      </c>
      <c r="B169" t="s">
        <v>43</v>
      </c>
      <c r="C169" t="s">
        <v>36</v>
      </c>
      <c r="D169" s="2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s="2" t="str">
        <f t="shared" si="2"/>
        <v>Medium</v>
      </c>
    </row>
    <row r="170" spans="1:36" x14ac:dyDescent="0.35">
      <c r="A170">
        <v>38</v>
      </c>
      <c r="B170" t="s">
        <v>43</v>
      </c>
      <c r="C170" t="s">
        <v>36</v>
      </c>
      <c r="D170" s="2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s="2" t="str">
        <f t="shared" si="2"/>
        <v>Medium</v>
      </c>
    </row>
    <row r="171" spans="1:36" x14ac:dyDescent="0.35">
      <c r="A171">
        <v>32</v>
      </c>
      <c r="B171" t="s">
        <v>43</v>
      </c>
      <c r="C171" t="s">
        <v>36</v>
      </c>
      <c r="D171" s="2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s="2" t="str">
        <f t="shared" si="2"/>
        <v>Low</v>
      </c>
    </row>
    <row r="172" spans="1:36" x14ac:dyDescent="0.35">
      <c r="A172">
        <v>27</v>
      </c>
      <c r="B172" t="s">
        <v>43</v>
      </c>
      <c r="C172" t="s">
        <v>36</v>
      </c>
      <c r="D172" s="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s="2" t="str">
        <f t="shared" si="2"/>
        <v>Low</v>
      </c>
    </row>
    <row r="173" spans="1:36" x14ac:dyDescent="0.35">
      <c r="A173">
        <v>19</v>
      </c>
      <c r="B173" t="s">
        <v>35</v>
      </c>
      <c r="C173" t="s">
        <v>44</v>
      </c>
      <c r="D173" s="2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s="2" t="str">
        <f t="shared" si="2"/>
        <v>Low</v>
      </c>
    </row>
    <row r="174" spans="1:36" x14ac:dyDescent="0.35">
      <c r="A174">
        <v>36</v>
      </c>
      <c r="B174" t="s">
        <v>43</v>
      </c>
      <c r="C174" t="s">
        <v>44</v>
      </c>
      <c r="D174" s="2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s="2" t="str">
        <f t="shared" si="2"/>
        <v>Low</v>
      </c>
    </row>
    <row r="175" spans="1:36" x14ac:dyDescent="0.35">
      <c r="A175">
        <v>30</v>
      </c>
      <c r="B175" t="s">
        <v>43</v>
      </c>
      <c r="C175" t="s">
        <v>55</v>
      </c>
      <c r="D175" s="2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s="2" t="str">
        <f t="shared" si="2"/>
        <v>Low</v>
      </c>
    </row>
    <row r="176" spans="1:36" x14ac:dyDescent="0.35">
      <c r="A176">
        <v>45</v>
      </c>
      <c r="B176" t="s">
        <v>43</v>
      </c>
      <c r="C176" t="s">
        <v>36</v>
      </c>
      <c r="D176" s="2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s="2" t="str">
        <f t="shared" si="2"/>
        <v>Medium</v>
      </c>
    </row>
    <row r="177" spans="1:36" x14ac:dyDescent="0.35">
      <c r="A177">
        <v>56</v>
      </c>
      <c r="B177" t="s">
        <v>43</v>
      </c>
      <c r="C177" t="s">
        <v>36</v>
      </c>
      <c r="D177" s="2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s="2" t="str">
        <f t="shared" si="2"/>
        <v>Low</v>
      </c>
    </row>
    <row r="178" spans="1:36" x14ac:dyDescent="0.35">
      <c r="A178">
        <v>33</v>
      </c>
      <c r="B178" t="s">
        <v>43</v>
      </c>
      <c r="C178" t="s">
        <v>36</v>
      </c>
      <c r="D178" s="2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s="2" t="str">
        <f t="shared" si="2"/>
        <v>Low</v>
      </c>
    </row>
    <row r="179" spans="1:36" x14ac:dyDescent="0.35">
      <c r="A179">
        <v>19</v>
      </c>
      <c r="B179" t="s">
        <v>35</v>
      </c>
      <c r="C179" t="s">
        <v>36</v>
      </c>
      <c r="D179" s="2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s="2" t="str">
        <f t="shared" si="2"/>
        <v>Low</v>
      </c>
    </row>
    <row r="180" spans="1:36" x14ac:dyDescent="0.35">
      <c r="A180">
        <v>46</v>
      </c>
      <c r="B180" t="s">
        <v>43</v>
      </c>
      <c r="C180" t="s">
        <v>36</v>
      </c>
      <c r="D180" s="2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s="2" t="str">
        <f t="shared" si="2"/>
        <v>High</v>
      </c>
    </row>
    <row r="181" spans="1:36" x14ac:dyDescent="0.35">
      <c r="A181">
        <v>38</v>
      </c>
      <c r="B181" t="s">
        <v>43</v>
      </c>
      <c r="C181" t="s">
        <v>36</v>
      </c>
      <c r="D181" s="2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s="2" t="str">
        <f t="shared" si="2"/>
        <v>Low</v>
      </c>
    </row>
    <row r="182" spans="1:36" x14ac:dyDescent="0.35">
      <c r="A182">
        <v>31</v>
      </c>
      <c r="B182" t="s">
        <v>43</v>
      </c>
      <c r="C182" t="s">
        <v>36</v>
      </c>
      <c r="D182" s="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s="2" t="str">
        <f t="shared" si="2"/>
        <v>Low</v>
      </c>
    </row>
    <row r="183" spans="1:36" x14ac:dyDescent="0.35">
      <c r="A183">
        <v>34</v>
      </c>
      <c r="B183" t="s">
        <v>43</v>
      </c>
      <c r="C183" t="s">
        <v>36</v>
      </c>
      <c r="D183" s="2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s="2" t="str">
        <f t="shared" si="2"/>
        <v>Low</v>
      </c>
    </row>
    <row r="184" spans="1:36" x14ac:dyDescent="0.35">
      <c r="A184">
        <v>41</v>
      </c>
      <c r="B184" t="s">
        <v>35</v>
      </c>
      <c r="C184" t="s">
        <v>36</v>
      </c>
      <c r="D184" s="2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s="2" t="str">
        <f t="shared" si="2"/>
        <v>Low</v>
      </c>
    </row>
    <row r="185" spans="1:36" x14ac:dyDescent="0.35">
      <c r="A185">
        <v>50</v>
      </c>
      <c r="B185" t="s">
        <v>43</v>
      </c>
      <c r="C185" t="s">
        <v>36</v>
      </c>
      <c r="D185" s="2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s="2" t="str">
        <f t="shared" si="2"/>
        <v>Low</v>
      </c>
    </row>
    <row r="186" spans="1:36" x14ac:dyDescent="0.35">
      <c r="A186">
        <v>53</v>
      </c>
      <c r="B186" t="s">
        <v>43</v>
      </c>
      <c r="C186" t="s">
        <v>36</v>
      </c>
      <c r="D186" s="2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s="2" t="str">
        <f t="shared" si="2"/>
        <v>Low</v>
      </c>
    </row>
    <row r="187" spans="1:36" x14ac:dyDescent="0.35">
      <c r="A187">
        <v>33</v>
      </c>
      <c r="B187" t="s">
        <v>43</v>
      </c>
      <c r="C187" t="s">
        <v>36</v>
      </c>
      <c r="D187" s="2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s="2" t="str">
        <f t="shared" si="2"/>
        <v>Low</v>
      </c>
    </row>
    <row r="188" spans="1:36" x14ac:dyDescent="0.35">
      <c r="A188">
        <v>40</v>
      </c>
      <c r="B188" t="s">
        <v>43</v>
      </c>
      <c r="C188" t="s">
        <v>36</v>
      </c>
      <c r="D188" s="2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s="2" t="str">
        <f t="shared" si="2"/>
        <v>High</v>
      </c>
    </row>
    <row r="189" spans="1:36" x14ac:dyDescent="0.35">
      <c r="A189">
        <v>55</v>
      </c>
      <c r="B189" t="s">
        <v>43</v>
      </c>
      <c r="C189" t="s">
        <v>36</v>
      </c>
      <c r="D189" s="2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s="2" t="str">
        <f t="shared" si="2"/>
        <v>High</v>
      </c>
    </row>
    <row r="190" spans="1:36" x14ac:dyDescent="0.35">
      <c r="A190">
        <v>34</v>
      </c>
      <c r="B190" t="s">
        <v>43</v>
      </c>
      <c r="C190" t="s">
        <v>44</v>
      </c>
      <c r="D190" s="2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s="2" t="str">
        <f t="shared" si="2"/>
        <v>Medium</v>
      </c>
    </row>
    <row r="191" spans="1:36" x14ac:dyDescent="0.35">
      <c r="A191">
        <v>51</v>
      </c>
      <c r="B191" t="s">
        <v>43</v>
      </c>
      <c r="C191" t="s">
        <v>36</v>
      </c>
      <c r="D191" s="2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s="2" t="str">
        <f t="shared" si="2"/>
        <v>High</v>
      </c>
    </row>
    <row r="192" spans="1:36" x14ac:dyDescent="0.35">
      <c r="A192">
        <v>52</v>
      </c>
      <c r="B192" t="s">
        <v>43</v>
      </c>
      <c r="C192" t="s">
        <v>36</v>
      </c>
      <c r="D192" s="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s="2" t="str">
        <f t="shared" si="2"/>
        <v>High</v>
      </c>
    </row>
    <row r="193" spans="1:36" x14ac:dyDescent="0.35">
      <c r="A193">
        <v>27</v>
      </c>
      <c r="B193" t="s">
        <v>43</v>
      </c>
      <c r="C193" t="s">
        <v>36</v>
      </c>
      <c r="D193" s="2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s="2" t="str">
        <f t="shared" si="2"/>
        <v>Low</v>
      </c>
    </row>
    <row r="194" spans="1:36" x14ac:dyDescent="0.35">
      <c r="A194">
        <v>35</v>
      </c>
      <c r="B194" t="s">
        <v>35</v>
      </c>
      <c r="C194" t="s">
        <v>36</v>
      </c>
      <c r="D194" s="2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s="2" t="str">
        <f t="shared" ref="AJ194:AJ257" si="3">IF(S194&lt;5000,"Low",IF(S194&lt;10000,"Medium","High"))</f>
        <v>Medium</v>
      </c>
    </row>
    <row r="195" spans="1:36" x14ac:dyDescent="0.35">
      <c r="A195">
        <v>43</v>
      </c>
      <c r="B195" t="s">
        <v>43</v>
      </c>
      <c r="C195" t="s">
        <v>55</v>
      </c>
      <c r="D195" s="2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s="2" t="str">
        <f t="shared" si="3"/>
        <v>Low</v>
      </c>
    </row>
    <row r="196" spans="1:36" x14ac:dyDescent="0.35">
      <c r="A196">
        <v>45</v>
      </c>
      <c r="B196" t="s">
        <v>43</v>
      </c>
      <c r="C196" t="s">
        <v>55</v>
      </c>
      <c r="D196" s="2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s="2" t="str">
        <f t="shared" si="3"/>
        <v>High</v>
      </c>
    </row>
    <row r="197" spans="1:36" x14ac:dyDescent="0.35">
      <c r="A197">
        <v>37</v>
      </c>
      <c r="B197" t="s">
        <v>43</v>
      </c>
      <c r="C197" t="s">
        <v>36</v>
      </c>
      <c r="D197" s="2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s="2" t="str">
        <f t="shared" si="3"/>
        <v>Low</v>
      </c>
    </row>
    <row r="198" spans="1:36" x14ac:dyDescent="0.35">
      <c r="A198">
        <v>35</v>
      </c>
      <c r="B198" t="s">
        <v>43</v>
      </c>
      <c r="C198" t="s">
        <v>44</v>
      </c>
      <c r="D198" s="2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s="2" t="str">
        <f t="shared" si="3"/>
        <v>Low</v>
      </c>
    </row>
    <row r="199" spans="1:36" x14ac:dyDescent="0.35">
      <c r="A199">
        <v>42</v>
      </c>
      <c r="B199" t="s">
        <v>43</v>
      </c>
      <c r="C199" t="s">
        <v>55</v>
      </c>
      <c r="D199" s="2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s="2" t="str">
        <f t="shared" si="3"/>
        <v>Medium</v>
      </c>
    </row>
    <row r="200" spans="1:36" x14ac:dyDescent="0.35">
      <c r="A200">
        <v>38</v>
      </c>
      <c r="B200" t="s">
        <v>43</v>
      </c>
      <c r="C200" t="s">
        <v>36</v>
      </c>
      <c r="D200" s="2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s="2" t="str">
        <f t="shared" si="3"/>
        <v>Medium</v>
      </c>
    </row>
    <row r="201" spans="1:36" x14ac:dyDescent="0.35">
      <c r="A201">
        <v>38</v>
      </c>
      <c r="B201" t="s">
        <v>43</v>
      </c>
      <c r="C201" t="s">
        <v>36</v>
      </c>
      <c r="D201" s="2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s="2" t="str">
        <f t="shared" si="3"/>
        <v>Medium</v>
      </c>
    </row>
    <row r="202" spans="1:36" x14ac:dyDescent="0.35">
      <c r="A202">
        <v>27</v>
      </c>
      <c r="B202" t="s">
        <v>43</v>
      </c>
      <c r="C202" t="s">
        <v>44</v>
      </c>
      <c r="D202" s="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s="2" t="str">
        <f t="shared" si="3"/>
        <v>Low</v>
      </c>
    </row>
    <row r="203" spans="1:36" x14ac:dyDescent="0.35">
      <c r="A203">
        <v>49</v>
      </c>
      <c r="B203" t="s">
        <v>43</v>
      </c>
      <c r="C203" t="s">
        <v>55</v>
      </c>
      <c r="D203" s="2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s="2" t="str">
        <f t="shared" si="3"/>
        <v>Medium</v>
      </c>
    </row>
    <row r="204" spans="1:36" x14ac:dyDescent="0.35">
      <c r="A204">
        <v>34</v>
      </c>
      <c r="B204" t="s">
        <v>43</v>
      </c>
      <c r="C204" t="s">
        <v>44</v>
      </c>
      <c r="D204" s="2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s="2" t="str">
        <f t="shared" si="3"/>
        <v>Low</v>
      </c>
    </row>
    <row r="205" spans="1:36" x14ac:dyDescent="0.35">
      <c r="A205">
        <v>40</v>
      </c>
      <c r="B205" t="s">
        <v>43</v>
      </c>
      <c r="C205" t="s">
        <v>36</v>
      </c>
      <c r="D205" s="2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s="2" t="str">
        <f t="shared" si="3"/>
        <v>Low</v>
      </c>
    </row>
    <row r="206" spans="1:36" x14ac:dyDescent="0.35">
      <c r="A206">
        <v>38</v>
      </c>
      <c r="B206" t="s">
        <v>35</v>
      </c>
      <c r="C206" t="s">
        <v>36</v>
      </c>
      <c r="D206" s="2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s="2" t="str">
        <f t="shared" si="3"/>
        <v>Medium</v>
      </c>
    </row>
    <row r="207" spans="1:36" x14ac:dyDescent="0.35">
      <c r="A207">
        <v>29</v>
      </c>
      <c r="B207" t="s">
        <v>35</v>
      </c>
      <c r="C207" t="s">
        <v>36</v>
      </c>
      <c r="D207" s="2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s="2" t="str">
        <f t="shared" si="3"/>
        <v>Medium</v>
      </c>
    </row>
    <row r="208" spans="1:36" x14ac:dyDescent="0.35">
      <c r="A208">
        <v>22</v>
      </c>
      <c r="B208" t="s">
        <v>43</v>
      </c>
      <c r="C208" t="s">
        <v>36</v>
      </c>
      <c r="D208" s="2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s="2" t="str">
        <f t="shared" si="3"/>
        <v>Low</v>
      </c>
    </row>
    <row r="209" spans="1:36" x14ac:dyDescent="0.35">
      <c r="A209">
        <v>36</v>
      </c>
      <c r="B209" t="s">
        <v>43</v>
      </c>
      <c r="C209" t="s">
        <v>44</v>
      </c>
      <c r="D209" s="2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s="2" t="str">
        <f t="shared" si="3"/>
        <v>Low</v>
      </c>
    </row>
    <row r="210" spans="1:36" x14ac:dyDescent="0.35">
      <c r="A210">
        <v>40</v>
      </c>
      <c r="B210" t="s">
        <v>43</v>
      </c>
      <c r="C210" t="s">
        <v>55</v>
      </c>
      <c r="D210" s="2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s="2" t="str">
        <f t="shared" si="3"/>
        <v>Low</v>
      </c>
    </row>
    <row r="211" spans="1:36" x14ac:dyDescent="0.35">
      <c r="A211">
        <v>46</v>
      </c>
      <c r="B211" t="s">
        <v>43</v>
      </c>
      <c r="C211" t="s">
        <v>36</v>
      </c>
      <c r="D211" s="2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s="2" t="str">
        <f t="shared" si="3"/>
        <v>Medium</v>
      </c>
    </row>
    <row r="212" spans="1:36" x14ac:dyDescent="0.35">
      <c r="A212">
        <v>32</v>
      </c>
      <c r="B212" t="s">
        <v>35</v>
      </c>
      <c r="C212" t="s">
        <v>36</v>
      </c>
      <c r="D212" s="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s="2" t="str">
        <f t="shared" si="3"/>
        <v>High</v>
      </c>
    </row>
    <row r="213" spans="1:36" x14ac:dyDescent="0.35">
      <c r="A213">
        <v>30</v>
      </c>
      <c r="B213" t="s">
        <v>43</v>
      </c>
      <c r="C213" t="s">
        <v>55</v>
      </c>
      <c r="D213" s="2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s="2" t="str">
        <f t="shared" si="3"/>
        <v>Medium</v>
      </c>
    </row>
    <row r="214" spans="1:36" x14ac:dyDescent="0.35">
      <c r="A214">
        <v>27</v>
      </c>
      <c r="B214" t="s">
        <v>43</v>
      </c>
      <c r="C214" t="s">
        <v>44</v>
      </c>
      <c r="D214" s="2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s="2" t="str">
        <f t="shared" si="3"/>
        <v>Medium</v>
      </c>
    </row>
    <row r="215" spans="1:36" x14ac:dyDescent="0.35">
      <c r="A215">
        <v>51</v>
      </c>
      <c r="B215" t="s">
        <v>43</v>
      </c>
      <c r="C215" t="s">
        <v>36</v>
      </c>
      <c r="D215" s="2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s="2" t="str">
        <f t="shared" si="3"/>
        <v>High</v>
      </c>
    </row>
    <row r="216" spans="1:36" x14ac:dyDescent="0.35">
      <c r="A216">
        <v>30</v>
      </c>
      <c r="B216" t="s">
        <v>35</v>
      </c>
      <c r="C216" t="s">
        <v>36</v>
      </c>
      <c r="D216" s="2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s="2" t="str">
        <f t="shared" si="3"/>
        <v>Low</v>
      </c>
    </row>
    <row r="217" spans="1:36" x14ac:dyDescent="0.35">
      <c r="A217">
        <v>41</v>
      </c>
      <c r="B217" t="s">
        <v>43</v>
      </c>
      <c r="C217" t="s">
        <v>36</v>
      </c>
      <c r="D217" s="2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s="2" t="str">
        <f t="shared" si="3"/>
        <v>High</v>
      </c>
    </row>
    <row r="218" spans="1:36" x14ac:dyDescent="0.35">
      <c r="A218">
        <v>30</v>
      </c>
      <c r="B218" t="s">
        <v>35</v>
      </c>
      <c r="C218" t="s">
        <v>44</v>
      </c>
      <c r="D218" s="2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s="2" t="str">
        <f t="shared" si="3"/>
        <v>Medium</v>
      </c>
    </row>
    <row r="219" spans="1:36" x14ac:dyDescent="0.35">
      <c r="A219">
        <v>29</v>
      </c>
      <c r="B219" t="s">
        <v>35</v>
      </c>
      <c r="C219" t="s">
        <v>36</v>
      </c>
      <c r="D219" s="2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s="2" t="str">
        <f t="shared" si="3"/>
        <v>Low</v>
      </c>
    </row>
    <row r="220" spans="1:36" x14ac:dyDescent="0.35">
      <c r="A220">
        <v>45</v>
      </c>
      <c r="B220" t="s">
        <v>43</v>
      </c>
      <c r="C220" t="s">
        <v>55</v>
      </c>
      <c r="D220" s="2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s="2" t="str">
        <f t="shared" si="3"/>
        <v>Medium</v>
      </c>
    </row>
    <row r="221" spans="1:36" x14ac:dyDescent="0.35">
      <c r="A221">
        <v>54</v>
      </c>
      <c r="B221" t="s">
        <v>43</v>
      </c>
      <c r="C221" t="s">
        <v>36</v>
      </c>
      <c r="D221" s="2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s="2" t="str">
        <f t="shared" si="3"/>
        <v>Medium</v>
      </c>
    </row>
    <row r="222" spans="1:36" x14ac:dyDescent="0.35">
      <c r="A222">
        <v>36</v>
      </c>
      <c r="B222" t="s">
        <v>43</v>
      </c>
      <c r="C222" t="s">
        <v>36</v>
      </c>
      <c r="D222" s="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s="2" t="str">
        <f t="shared" si="3"/>
        <v>Medium</v>
      </c>
    </row>
    <row r="223" spans="1:36" x14ac:dyDescent="0.35">
      <c r="A223">
        <v>33</v>
      </c>
      <c r="B223" t="s">
        <v>43</v>
      </c>
      <c r="C223" t="s">
        <v>36</v>
      </c>
      <c r="D223" s="2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s="2" t="str">
        <f t="shared" si="3"/>
        <v>Low</v>
      </c>
    </row>
    <row r="224" spans="1:36" x14ac:dyDescent="0.35">
      <c r="A224">
        <v>37</v>
      </c>
      <c r="B224" t="s">
        <v>43</v>
      </c>
      <c r="C224" t="s">
        <v>44</v>
      </c>
      <c r="D224" s="2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s="2" t="str">
        <f t="shared" si="3"/>
        <v>High</v>
      </c>
    </row>
    <row r="225" spans="1:36" x14ac:dyDescent="0.35">
      <c r="A225">
        <v>38</v>
      </c>
      <c r="B225" t="s">
        <v>43</v>
      </c>
      <c r="C225" t="s">
        <v>36</v>
      </c>
      <c r="D225" s="2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s="2" t="str">
        <f t="shared" si="3"/>
        <v>High</v>
      </c>
    </row>
    <row r="226" spans="1:36" x14ac:dyDescent="0.35">
      <c r="A226">
        <v>31</v>
      </c>
      <c r="B226" t="s">
        <v>43</v>
      </c>
      <c r="C226" t="s">
        <v>55</v>
      </c>
      <c r="D226" s="2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s="2" t="str">
        <f t="shared" si="3"/>
        <v>Low</v>
      </c>
    </row>
    <row r="227" spans="1:36" x14ac:dyDescent="0.35">
      <c r="A227">
        <v>59</v>
      </c>
      <c r="B227" t="s">
        <v>43</v>
      </c>
      <c r="C227" t="s">
        <v>36</v>
      </c>
      <c r="D227" s="2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s="2" t="str">
        <f t="shared" si="3"/>
        <v>Low</v>
      </c>
    </row>
    <row r="228" spans="1:36" x14ac:dyDescent="0.35">
      <c r="A228">
        <v>37</v>
      </c>
      <c r="B228" t="s">
        <v>43</v>
      </c>
      <c r="C228" t="s">
        <v>44</v>
      </c>
      <c r="D228" s="2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s="2" t="str">
        <f t="shared" si="3"/>
        <v>Low</v>
      </c>
    </row>
    <row r="229" spans="1:36" x14ac:dyDescent="0.35">
      <c r="A229">
        <v>29</v>
      </c>
      <c r="B229" t="s">
        <v>43</v>
      </c>
      <c r="C229" t="s">
        <v>44</v>
      </c>
      <c r="D229" s="2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s="2" t="str">
        <f t="shared" si="3"/>
        <v>Medium</v>
      </c>
    </row>
    <row r="230" spans="1:36" x14ac:dyDescent="0.35">
      <c r="A230">
        <v>35</v>
      </c>
      <c r="B230" t="s">
        <v>43</v>
      </c>
      <c r="C230" t="s">
        <v>44</v>
      </c>
      <c r="D230" s="2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s="2" t="str">
        <f t="shared" si="3"/>
        <v>Medium</v>
      </c>
    </row>
    <row r="231" spans="1:36" x14ac:dyDescent="0.35">
      <c r="A231">
        <v>29</v>
      </c>
      <c r="B231" t="s">
        <v>35</v>
      </c>
      <c r="C231" t="s">
        <v>36</v>
      </c>
      <c r="D231" s="2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s="2" t="str">
        <f t="shared" si="3"/>
        <v>Low</v>
      </c>
    </row>
    <row r="232" spans="1:36" x14ac:dyDescent="0.35">
      <c r="A232">
        <v>52</v>
      </c>
      <c r="B232" t="s">
        <v>43</v>
      </c>
      <c r="C232" t="s">
        <v>36</v>
      </c>
      <c r="D232" s="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s="2" t="str">
        <f t="shared" si="3"/>
        <v>Low</v>
      </c>
    </row>
    <row r="233" spans="1:36" x14ac:dyDescent="0.35">
      <c r="A233">
        <v>42</v>
      </c>
      <c r="B233" t="s">
        <v>43</v>
      </c>
      <c r="C233" t="s">
        <v>36</v>
      </c>
      <c r="D233" s="2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s="2" t="str">
        <f t="shared" si="3"/>
        <v>High</v>
      </c>
    </row>
    <row r="234" spans="1:36" x14ac:dyDescent="0.35">
      <c r="A234">
        <v>59</v>
      </c>
      <c r="B234" t="s">
        <v>43</v>
      </c>
      <c r="C234" t="s">
        <v>36</v>
      </c>
      <c r="D234" s="2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s="2" t="str">
        <f t="shared" si="3"/>
        <v>Low</v>
      </c>
    </row>
    <row r="235" spans="1:36" x14ac:dyDescent="0.35">
      <c r="A235">
        <v>50</v>
      </c>
      <c r="B235" t="s">
        <v>43</v>
      </c>
      <c r="C235" t="s">
        <v>36</v>
      </c>
      <c r="D235" s="2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s="2" t="str">
        <f t="shared" si="3"/>
        <v>High</v>
      </c>
    </row>
    <row r="236" spans="1:36" x14ac:dyDescent="0.35">
      <c r="A236">
        <v>33</v>
      </c>
      <c r="B236" t="s">
        <v>35</v>
      </c>
      <c r="C236" t="s">
        <v>36</v>
      </c>
      <c r="D236" s="2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s="2" t="str">
        <f t="shared" si="3"/>
        <v>Low</v>
      </c>
    </row>
    <row r="237" spans="1:36" x14ac:dyDescent="0.35">
      <c r="A237">
        <v>43</v>
      </c>
      <c r="B237" t="s">
        <v>43</v>
      </c>
      <c r="C237" t="s">
        <v>36</v>
      </c>
      <c r="D237" s="2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s="2" t="str">
        <f t="shared" si="3"/>
        <v>High</v>
      </c>
    </row>
    <row r="238" spans="1:36" x14ac:dyDescent="0.35">
      <c r="A238">
        <v>33</v>
      </c>
      <c r="B238" t="s">
        <v>35</v>
      </c>
      <c r="C238" t="s">
        <v>36</v>
      </c>
      <c r="D238" s="2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s="2" t="str">
        <f t="shared" si="3"/>
        <v>Low</v>
      </c>
    </row>
    <row r="239" spans="1:36" x14ac:dyDescent="0.35">
      <c r="A239">
        <v>52</v>
      </c>
      <c r="B239" t="s">
        <v>43</v>
      </c>
      <c r="C239" t="s">
        <v>55</v>
      </c>
      <c r="D239" s="2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s="2" t="str">
        <f t="shared" si="3"/>
        <v>High</v>
      </c>
    </row>
    <row r="240" spans="1:36" x14ac:dyDescent="0.35">
      <c r="A240">
        <v>32</v>
      </c>
      <c r="B240" t="s">
        <v>43</v>
      </c>
      <c r="C240" t="s">
        <v>36</v>
      </c>
      <c r="D240" s="2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s="2" t="str">
        <f t="shared" si="3"/>
        <v>Low</v>
      </c>
    </row>
    <row r="241" spans="1:36" x14ac:dyDescent="0.35">
      <c r="A241">
        <v>32</v>
      </c>
      <c r="B241" t="s">
        <v>35</v>
      </c>
      <c r="C241" t="s">
        <v>36</v>
      </c>
      <c r="D241" s="2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s="2" t="str">
        <f t="shared" si="3"/>
        <v>Low</v>
      </c>
    </row>
    <row r="242" spans="1:36" x14ac:dyDescent="0.35">
      <c r="A242">
        <v>39</v>
      </c>
      <c r="B242" t="s">
        <v>43</v>
      </c>
      <c r="C242" t="s">
        <v>36</v>
      </c>
      <c r="D242" s="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s="2" t="str">
        <f t="shared" si="3"/>
        <v>Low</v>
      </c>
    </row>
    <row r="243" spans="1:36" x14ac:dyDescent="0.35">
      <c r="A243">
        <v>32</v>
      </c>
      <c r="B243" t="s">
        <v>43</v>
      </c>
      <c r="C243" t="s">
        <v>55</v>
      </c>
      <c r="D243" s="2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s="2" t="str">
        <f t="shared" si="3"/>
        <v>Low</v>
      </c>
    </row>
    <row r="244" spans="1:36" x14ac:dyDescent="0.35">
      <c r="A244">
        <v>41</v>
      </c>
      <c r="B244" t="s">
        <v>43</v>
      </c>
      <c r="C244" t="s">
        <v>36</v>
      </c>
      <c r="D244" s="2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s="2" t="str">
        <f t="shared" si="3"/>
        <v>Low</v>
      </c>
    </row>
    <row r="245" spans="1:36" x14ac:dyDescent="0.35">
      <c r="A245">
        <v>40</v>
      </c>
      <c r="B245" t="s">
        <v>43</v>
      </c>
      <c r="C245" t="s">
        <v>36</v>
      </c>
      <c r="D245" s="2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s="2" t="str">
        <f t="shared" si="3"/>
        <v>Low</v>
      </c>
    </row>
    <row r="246" spans="1:36" x14ac:dyDescent="0.35">
      <c r="A246">
        <v>45</v>
      </c>
      <c r="B246" t="s">
        <v>43</v>
      </c>
      <c r="C246" t="s">
        <v>36</v>
      </c>
      <c r="D246" s="2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s="2" t="str">
        <f t="shared" si="3"/>
        <v>High</v>
      </c>
    </row>
    <row r="247" spans="1:36" x14ac:dyDescent="0.35">
      <c r="A247">
        <v>31</v>
      </c>
      <c r="B247" t="s">
        <v>43</v>
      </c>
      <c r="C247" t="s">
        <v>44</v>
      </c>
      <c r="D247" s="2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s="2" t="str">
        <f t="shared" si="3"/>
        <v>High</v>
      </c>
    </row>
    <row r="248" spans="1:36" x14ac:dyDescent="0.35">
      <c r="A248">
        <v>33</v>
      </c>
      <c r="B248" t="s">
        <v>43</v>
      </c>
      <c r="C248" t="s">
        <v>36</v>
      </c>
      <c r="D248" s="2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s="2" t="str">
        <f t="shared" si="3"/>
        <v>Low</v>
      </c>
    </row>
    <row r="249" spans="1:36" x14ac:dyDescent="0.35">
      <c r="A249">
        <v>34</v>
      </c>
      <c r="B249" t="s">
        <v>43</v>
      </c>
      <c r="C249" t="s">
        <v>36</v>
      </c>
      <c r="D249" s="2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s="2" t="str">
        <f t="shared" si="3"/>
        <v>Medium</v>
      </c>
    </row>
    <row r="250" spans="1:36" x14ac:dyDescent="0.35">
      <c r="A250">
        <v>37</v>
      </c>
      <c r="B250" t="s">
        <v>43</v>
      </c>
      <c r="C250" t="s">
        <v>36</v>
      </c>
      <c r="D250" s="2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s="2" t="str">
        <f t="shared" si="3"/>
        <v>Low</v>
      </c>
    </row>
    <row r="251" spans="1:36" x14ac:dyDescent="0.35">
      <c r="A251">
        <v>45</v>
      </c>
      <c r="B251" t="s">
        <v>43</v>
      </c>
      <c r="C251" t="s">
        <v>44</v>
      </c>
      <c r="D251" s="2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s="2" t="str">
        <f t="shared" si="3"/>
        <v>Medium</v>
      </c>
    </row>
    <row r="252" spans="1:36" x14ac:dyDescent="0.35">
      <c r="A252">
        <v>37</v>
      </c>
      <c r="B252" t="s">
        <v>35</v>
      </c>
      <c r="C252" t="s">
        <v>44</v>
      </c>
      <c r="D252" s="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s="2" t="str">
        <f t="shared" si="3"/>
        <v>High</v>
      </c>
    </row>
    <row r="253" spans="1:36" x14ac:dyDescent="0.35">
      <c r="A253">
        <v>39</v>
      </c>
      <c r="B253" t="s">
        <v>43</v>
      </c>
      <c r="C253" t="s">
        <v>44</v>
      </c>
      <c r="D253" s="2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s="2" t="str">
        <f t="shared" si="3"/>
        <v>High</v>
      </c>
    </row>
    <row r="254" spans="1:36" x14ac:dyDescent="0.35">
      <c r="A254">
        <v>29</v>
      </c>
      <c r="B254" t="s">
        <v>43</v>
      </c>
      <c r="C254" t="s">
        <v>36</v>
      </c>
      <c r="D254" s="2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s="2" t="str">
        <f t="shared" si="3"/>
        <v>Low</v>
      </c>
    </row>
    <row r="255" spans="1:36" x14ac:dyDescent="0.35">
      <c r="A255">
        <v>42</v>
      </c>
      <c r="B255" t="s">
        <v>43</v>
      </c>
      <c r="C255" t="s">
        <v>36</v>
      </c>
      <c r="D255" s="2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s="2" t="str">
        <f t="shared" si="3"/>
        <v>Medium</v>
      </c>
    </row>
    <row r="256" spans="1:36" x14ac:dyDescent="0.35">
      <c r="A256">
        <v>29</v>
      </c>
      <c r="B256" t="s">
        <v>43</v>
      </c>
      <c r="C256" t="s">
        <v>36</v>
      </c>
      <c r="D256" s="2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s="2" t="str">
        <f t="shared" si="3"/>
        <v>Medium</v>
      </c>
    </row>
    <row r="257" spans="1:36" x14ac:dyDescent="0.35">
      <c r="A257">
        <v>25</v>
      </c>
      <c r="B257" t="s">
        <v>43</v>
      </c>
      <c r="C257" t="s">
        <v>36</v>
      </c>
      <c r="D257" s="2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s="2" t="str">
        <f t="shared" si="3"/>
        <v>Low</v>
      </c>
    </row>
    <row r="258" spans="1:36" x14ac:dyDescent="0.35">
      <c r="A258">
        <v>42</v>
      </c>
      <c r="B258" t="s">
        <v>43</v>
      </c>
      <c r="C258" t="s">
        <v>36</v>
      </c>
      <c r="D258" s="2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s="2" t="str">
        <f t="shared" ref="AJ258:AJ321" si="4">IF(S258&lt;5000,"Low",IF(S258&lt;10000,"Medium","High"))</f>
        <v>Low</v>
      </c>
    </row>
    <row r="259" spans="1:36" x14ac:dyDescent="0.35">
      <c r="A259">
        <v>40</v>
      </c>
      <c r="B259" t="s">
        <v>43</v>
      </c>
      <c r="C259" t="s">
        <v>36</v>
      </c>
      <c r="D259" s="2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s="2" t="str">
        <f t="shared" si="4"/>
        <v>High</v>
      </c>
    </row>
    <row r="260" spans="1:36" x14ac:dyDescent="0.35">
      <c r="A260">
        <v>51</v>
      </c>
      <c r="B260" t="s">
        <v>43</v>
      </c>
      <c r="C260" t="s">
        <v>36</v>
      </c>
      <c r="D260" s="2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s="2" t="str">
        <f t="shared" si="4"/>
        <v>Low</v>
      </c>
    </row>
    <row r="261" spans="1:36" x14ac:dyDescent="0.35">
      <c r="A261">
        <v>31</v>
      </c>
      <c r="B261" t="s">
        <v>35</v>
      </c>
      <c r="C261" t="s">
        <v>44</v>
      </c>
      <c r="D261" s="2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s="2" t="str">
        <f t="shared" si="4"/>
        <v>Low</v>
      </c>
    </row>
    <row r="262" spans="1:36" x14ac:dyDescent="0.35">
      <c r="A262">
        <v>32</v>
      </c>
      <c r="B262" t="s">
        <v>43</v>
      </c>
      <c r="C262" t="s">
        <v>44</v>
      </c>
      <c r="D262" s="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s="2" t="str">
        <f t="shared" si="4"/>
        <v>Low</v>
      </c>
    </row>
    <row r="263" spans="1:36" x14ac:dyDescent="0.35">
      <c r="A263">
        <v>38</v>
      </c>
      <c r="B263" t="s">
        <v>43</v>
      </c>
      <c r="C263" t="s">
        <v>55</v>
      </c>
      <c r="D263" s="2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s="2" t="str">
        <f t="shared" si="4"/>
        <v>Medium</v>
      </c>
    </row>
    <row r="264" spans="1:36" x14ac:dyDescent="0.35">
      <c r="A264">
        <v>32</v>
      </c>
      <c r="B264" t="s">
        <v>43</v>
      </c>
      <c r="C264" t="s">
        <v>36</v>
      </c>
      <c r="D264" s="2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s="2" t="str">
        <f t="shared" si="4"/>
        <v>Low</v>
      </c>
    </row>
    <row r="265" spans="1:36" x14ac:dyDescent="0.35">
      <c r="A265">
        <v>46</v>
      </c>
      <c r="B265" t="s">
        <v>43</v>
      </c>
      <c r="C265" t="s">
        <v>36</v>
      </c>
      <c r="D265" s="2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s="2" t="str">
        <f t="shared" si="4"/>
        <v>High</v>
      </c>
    </row>
    <row r="266" spans="1:36" x14ac:dyDescent="0.35">
      <c r="A266">
        <v>28</v>
      </c>
      <c r="B266" t="s">
        <v>35</v>
      </c>
      <c r="C266" t="s">
        <v>36</v>
      </c>
      <c r="D266" s="2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s="2" t="str">
        <f t="shared" si="4"/>
        <v>Low</v>
      </c>
    </row>
    <row r="267" spans="1:36" x14ac:dyDescent="0.35">
      <c r="A267">
        <v>29</v>
      </c>
      <c r="B267" t="s">
        <v>43</v>
      </c>
      <c r="C267" t="s">
        <v>36</v>
      </c>
      <c r="D267" s="2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s="2" t="str">
        <f t="shared" si="4"/>
        <v>Medium</v>
      </c>
    </row>
    <row r="268" spans="1:36" x14ac:dyDescent="0.35">
      <c r="A268">
        <v>31</v>
      </c>
      <c r="B268" t="s">
        <v>43</v>
      </c>
      <c r="C268" t="s">
        <v>36</v>
      </c>
      <c r="D268" s="2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s="2" t="str">
        <f t="shared" si="4"/>
        <v>Medium</v>
      </c>
    </row>
    <row r="269" spans="1:36" x14ac:dyDescent="0.35">
      <c r="A269">
        <v>25</v>
      </c>
      <c r="B269" t="s">
        <v>43</v>
      </c>
      <c r="C269" t="s">
        <v>55</v>
      </c>
      <c r="D269" s="2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s="2" t="str">
        <f t="shared" si="4"/>
        <v>Low</v>
      </c>
    </row>
    <row r="270" spans="1:36" x14ac:dyDescent="0.35">
      <c r="A270">
        <v>45</v>
      </c>
      <c r="B270" t="s">
        <v>43</v>
      </c>
      <c r="C270" t="s">
        <v>36</v>
      </c>
      <c r="D270" s="2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s="2" t="str">
        <f t="shared" si="4"/>
        <v>High</v>
      </c>
    </row>
    <row r="271" spans="1:36" x14ac:dyDescent="0.35">
      <c r="A271">
        <v>36</v>
      </c>
      <c r="B271" t="s">
        <v>43</v>
      </c>
      <c r="C271" t="s">
        <v>36</v>
      </c>
      <c r="D271" s="2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s="2" t="str">
        <f t="shared" si="4"/>
        <v>Low</v>
      </c>
    </row>
    <row r="272" spans="1:36" x14ac:dyDescent="0.35">
      <c r="A272">
        <v>55</v>
      </c>
      <c r="B272" t="s">
        <v>43</v>
      </c>
      <c r="C272" t="s">
        <v>36</v>
      </c>
      <c r="D272" s="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s="2" t="str">
        <f t="shared" si="4"/>
        <v>High</v>
      </c>
    </row>
    <row r="273" spans="1:36" x14ac:dyDescent="0.35">
      <c r="A273">
        <v>47</v>
      </c>
      <c r="B273" t="s">
        <v>35</v>
      </c>
      <c r="C273" t="s">
        <v>55</v>
      </c>
      <c r="D273" s="2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s="2" t="str">
        <f t="shared" si="4"/>
        <v>High</v>
      </c>
    </row>
    <row r="274" spans="1:36" x14ac:dyDescent="0.35">
      <c r="A274">
        <v>28</v>
      </c>
      <c r="B274" t="s">
        <v>43</v>
      </c>
      <c r="C274" t="s">
        <v>36</v>
      </c>
      <c r="D274" s="2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s="2" t="str">
        <f t="shared" si="4"/>
        <v>Low</v>
      </c>
    </row>
    <row r="275" spans="1:36" x14ac:dyDescent="0.35">
      <c r="A275">
        <v>37</v>
      </c>
      <c r="B275" t="s">
        <v>43</v>
      </c>
      <c r="C275" t="s">
        <v>36</v>
      </c>
      <c r="D275" s="2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s="2" t="str">
        <f t="shared" si="4"/>
        <v>Medium</v>
      </c>
    </row>
    <row r="276" spans="1:36" x14ac:dyDescent="0.35">
      <c r="A276">
        <v>21</v>
      </c>
      <c r="B276" t="s">
        <v>43</v>
      </c>
      <c r="C276" t="s">
        <v>36</v>
      </c>
      <c r="D276" s="2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s="2" t="str">
        <f t="shared" si="4"/>
        <v>Low</v>
      </c>
    </row>
    <row r="277" spans="1:36" x14ac:dyDescent="0.35">
      <c r="A277">
        <v>37</v>
      </c>
      <c r="B277" t="s">
        <v>43</v>
      </c>
      <c r="C277" t="s">
        <v>55</v>
      </c>
      <c r="D277" s="2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s="2" t="str">
        <f t="shared" si="4"/>
        <v>High</v>
      </c>
    </row>
    <row r="278" spans="1:36" x14ac:dyDescent="0.35">
      <c r="A278">
        <v>35</v>
      </c>
      <c r="B278" t="s">
        <v>43</v>
      </c>
      <c r="C278" t="s">
        <v>36</v>
      </c>
      <c r="D278" s="2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s="2" t="str">
        <f t="shared" si="4"/>
        <v>High</v>
      </c>
    </row>
    <row r="279" spans="1:36" x14ac:dyDescent="0.35">
      <c r="A279">
        <v>38</v>
      </c>
      <c r="B279" t="s">
        <v>43</v>
      </c>
      <c r="C279" t="s">
        <v>36</v>
      </c>
      <c r="D279" s="2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s="2" t="str">
        <f t="shared" si="4"/>
        <v>Medium</v>
      </c>
    </row>
    <row r="280" spans="1:36" x14ac:dyDescent="0.35">
      <c r="A280">
        <v>26</v>
      </c>
      <c r="B280" t="s">
        <v>43</v>
      </c>
      <c r="C280" t="s">
        <v>44</v>
      </c>
      <c r="D280" s="2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s="2" t="str">
        <f t="shared" si="4"/>
        <v>Medium</v>
      </c>
    </row>
    <row r="281" spans="1:36" x14ac:dyDescent="0.35">
      <c r="A281">
        <v>50</v>
      </c>
      <c r="B281" t="s">
        <v>43</v>
      </c>
      <c r="C281" t="s">
        <v>36</v>
      </c>
      <c r="D281" s="2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s="2" t="str">
        <f t="shared" si="4"/>
        <v>High</v>
      </c>
    </row>
    <row r="282" spans="1:36" x14ac:dyDescent="0.35">
      <c r="A282">
        <v>53</v>
      </c>
      <c r="B282" t="s">
        <v>43</v>
      </c>
      <c r="C282" t="s">
        <v>36</v>
      </c>
      <c r="D282" s="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s="2" t="str">
        <f t="shared" si="4"/>
        <v>High</v>
      </c>
    </row>
    <row r="283" spans="1:36" x14ac:dyDescent="0.35">
      <c r="A283">
        <v>42</v>
      </c>
      <c r="B283" t="s">
        <v>43</v>
      </c>
      <c r="C283" t="s">
        <v>36</v>
      </c>
      <c r="D283" s="2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s="2" t="str">
        <f t="shared" si="4"/>
        <v>Low</v>
      </c>
    </row>
    <row r="284" spans="1:36" x14ac:dyDescent="0.35">
      <c r="A284">
        <v>29</v>
      </c>
      <c r="B284" t="s">
        <v>43</v>
      </c>
      <c r="C284" t="s">
        <v>44</v>
      </c>
      <c r="D284" s="2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s="2" t="str">
        <f t="shared" si="4"/>
        <v>Low</v>
      </c>
    </row>
    <row r="285" spans="1:36" x14ac:dyDescent="0.35">
      <c r="A285">
        <v>55</v>
      </c>
      <c r="B285" t="s">
        <v>43</v>
      </c>
      <c r="C285" t="s">
        <v>36</v>
      </c>
      <c r="D285" s="2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s="2" t="str">
        <f t="shared" si="4"/>
        <v>Medium</v>
      </c>
    </row>
    <row r="286" spans="1:36" x14ac:dyDescent="0.35">
      <c r="A286">
        <v>26</v>
      </c>
      <c r="B286" t="s">
        <v>43</v>
      </c>
      <c r="C286" t="s">
        <v>44</v>
      </c>
      <c r="D286" s="2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s="2" t="str">
        <f t="shared" si="4"/>
        <v>Low</v>
      </c>
    </row>
    <row r="287" spans="1:36" x14ac:dyDescent="0.35">
      <c r="A287">
        <v>37</v>
      </c>
      <c r="B287" t="s">
        <v>43</v>
      </c>
      <c r="C287" t="s">
        <v>36</v>
      </c>
      <c r="D287" s="2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s="2" t="str">
        <f t="shared" si="4"/>
        <v>Low</v>
      </c>
    </row>
    <row r="288" spans="1:36" x14ac:dyDescent="0.35">
      <c r="A288">
        <v>44</v>
      </c>
      <c r="B288" t="s">
        <v>35</v>
      </c>
      <c r="C288" t="s">
        <v>44</v>
      </c>
      <c r="D288" s="2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s="2" t="str">
        <f t="shared" si="4"/>
        <v>Low</v>
      </c>
    </row>
    <row r="289" spans="1:36" x14ac:dyDescent="0.35">
      <c r="A289">
        <v>38</v>
      </c>
      <c r="B289" t="s">
        <v>43</v>
      </c>
      <c r="C289" t="s">
        <v>36</v>
      </c>
      <c r="D289" s="2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s="2" t="str">
        <f t="shared" si="4"/>
        <v>Medium</v>
      </c>
    </row>
    <row r="290" spans="1:36" x14ac:dyDescent="0.35">
      <c r="A290">
        <v>26</v>
      </c>
      <c r="B290" t="s">
        <v>35</v>
      </c>
      <c r="C290" t="s">
        <v>36</v>
      </c>
      <c r="D290" s="2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s="2" t="str">
        <f t="shared" si="4"/>
        <v>Low</v>
      </c>
    </row>
    <row r="291" spans="1:36" x14ac:dyDescent="0.35">
      <c r="A291">
        <v>28</v>
      </c>
      <c r="B291" t="s">
        <v>43</v>
      </c>
      <c r="C291" t="s">
        <v>36</v>
      </c>
      <c r="D291" s="2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s="2" t="str">
        <f t="shared" si="4"/>
        <v>Low</v>
      </c>
    </row>
    <row r="292" spans="1:36" x14ac:dyDescent="0.35">
      <c r="A292">
        <v>49</v>
      </c>
      <c r="B292" t="s">
        <v>43</v>
      </c>
      <c r="C292" t="s">
        <v>44</v>
      </c>
      <c r="D292" s="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s="2" t="str">
        <f t="shared" si="4"/>
        <v>High</v>
      </c>
    </row>
    <row r="293" spans="1:36" x14ac:dyDescent="0.35">
      <c r="A293">
        <v>36</v>
      </c>
      <c r="B293" t="s">
        <v>43</v>
      </c>
      <c r="C293" t="s">
        <v>36</v>
      </c>
      <c r="D293" s="2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s="2" t="str">
        <f t="shared" si="4"/>
        <v>Low</v>
      </c>
    </row>
    <row r="294" spans="1:36" x14ac:dyDescent="0.35">
      <c r="A294">
        <v>31</v>
      </c>
      <c r="B294" t="s">
        <v>43</v>
      </c>
      <c r="C294" t="s">
        <v>44</v>
      </c>
      <c r="D294" s="2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s="2" t="str">
        <f t="shared" si="4"/>
        <v>Low</v>
      </c>
    </row>
    <row r="295" spans="1:36" x14ac:dyDescent="0.35">
      <c r="A295">
        <v>26</v>
      </c>
      <c r="B295" t="s">
        <v>35</v>
      </c>
      <c r="C295" t="s">
        <v>36</v>
      </c>
      <c r="D295" s="2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s="2" t="str">
        <f t="shared" si="4"/>
        <v>Medium</v>
      </c>
    </row>
    <row r="296" spans="1:36" x14ac:dyDescent="0.35">
      <c r="A296">
        <v>37</v>
      </c>
      <c r="B296" t="s">
        <v>43</v>
      </c>
      <c r="C296" t="s">
        <v>44</v>
      </c>
      <c r="D296" s="2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s="2" t="str">
        <f t="shared" si="4"/>
        <v>Low</v>
      </c>
    </row>
    <row r="297" spans="1:36" x14ac:dyDescent="0.35">
      <c r="A297">
        <v>42</v>
      </c>
      <c r="B297" t="s">
        <v>43</v>
      </c>
      <c r="C297" t="s">
        <v>44</v>
      </c>
      <c r="D297" s="2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s="2" t="str">
        <f t="shared" si="4"/>
        <v>High</v>
      </c>
    </row>
    <row r="298" spans="1:36" x14ac:dyDescent="0.35">
      <c r="A298">
        <v>18</v>
      </c>
      <c r="B298" t="s">
        <v>35</v>
      </c>
      <c r="C298" t="s">
        <v>36</v>
      </c>
      <c r="D298" s="2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s="2" t="str">
        <f t="shared" si="4"/>
        <v>Low</v>
      </c>
    </row>
    <row r="299" spans="1:36" x14ac:dyDescent="0.35">
      <c r="A299">
        <v>35</v>
      </c>
      <c r="B299" t="s">
        <v>43</v>
      </c>
      <c r="C299" t="s">
        <v>36</v>
      </c>
      <c r="D299" s="2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s="2" t="str">
        <f t="shared" si="4"/>
        <v>Medium</v>
      </c>
    </row>
    <row r="300" spans="1:36" x14ac:dyDescent="0.35">
      <c r="A300">
        <v>36</v>
      </c>
      <c r="B300" t="s">
        <v>43</v>
      </c>
      <c r="C300" t="s">
        <v>44</v>
      </c>
      <c r="D300" s="2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s="2" t="str">
        <f t="shared" si="4"/>
        <v>Low</v>
      </c>
    </row>
    <row r="301" spans="1:36" x14ac:dyDescent="0.35">
      <c r="A301">
        <v>51</v>
      </c>
      <c r="B301" t="s">
        <v>43</v>
      </c>
      <c r="C301" t="s">
        <v>36</v>
      </c>
      <c r="D301" s="2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s="2" t="str">
        <f t="shared" si="4"/>
        <v>Medium</v>
      </c>
    </row>
    <row r="302" spans="1:36" x14ac:dyDescent="0.35">
      <c r="A302">
        <v>41</v>
      </c>
      <c r="B302" t="s">
        <v>43</v>
      </c>
      <c r="C302" t="s">
        <v>36</v>
      </c>
      <c r="D302" s="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s="2" t="str">
        <f t="shared" si="4"/>
        <v>High</v>
      </c>
    </row>
    <row r="303" spans="1:36" x14ac:dyDescent="0.35">
      <c r="A303">
        <v>18</v>
      </c>
      <c r="B303" t="s">
        <v>43</v>
      </c>
      <c r="C303" t="s">
        <v>36</v>
      </c>
      <c r="D303" s="2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s="2" t="str">
        <f t="shared" si="4"/>
        <v>Low</v>
      </c>
    </row>
    <row r="304" spans="1:36" x14ac:dyDescent="0.35">
      <c r="A304">
        <v>28</v>
      </c>
      <c r="B304" t="s">
        <v>43</v>
      </c>
      <c r="C304" t="s">
        <v>36</v>
      </c>
      <c r="D304" s="2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s="2" t="str">
        <f t="shared" si="4"/>
        <v>Medium</v>
      </c>
    </row>
    <row r="305" spans="1:36" x14ac:dyDescent="0.35">
      <c r="A305">
        <v>31</v>
      </c>
      <c r="B305" t="s">
        <v>43</v>
      </c>
      <c r="C305" t="s">
        <v>36</v>
      </c>
      <c r="D305" s="2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s="2" t="str">
        <f t="shared" si="4"/>
        <v>Medium</v>
      </c>
    </row>
    <row r="306" spans="1:36" x14ac:dyDescent="0.35">
      <c r="A306">
        <v>39</v>
      </c>
      <c r="B306" t="s">
        <v>43</v>
      </c>
      <c r="C306" t="s">
        <v>36</v>
      </c>
      <c r="D306" s="2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s="2" t="str">
        <f t="shared" si="4"/>
        <v>Medium</v>
      </c>
    </row>
    <row r="307" spans="1:36" x14ac:dyDescent="0.35">
      <c r="A307">
        <v>36</v>
      </c>
      <c r="B307" t="s">
        <v>43</v>
      </c>
      <c r="C307" t="s">
        <v>55</v>
      </c>
      <c r="D307" s="2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s="2" t="str">
        <f t="shared" si="4"/>
        <v>Medium</v>
      </c>
    </row>
    <row r="308" spans="1:36" x14ac:dyDescent="0.35">
      <c r="A308">
        <v>32</v>
      </c>
      <c r="B308" t="s">
        <v>43</v>
      </c>
      <c r="C308" t="s">
        <v>36</v>
      </c>
      <c r="D308" s="2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s="2" t="str">
        <f t="shared" si="4"/>
        <v>Medium</v>
      </c>
    </row>
    <row r="309" spans="1:36" x14ac:dyDescent="0.35">
      <c r="A309">
        <v>38</v>
      </c>
      <c r="B309" t="s">
        <v>43</v>
      </c>
      <c r="C309" t="s">
        <v>36</v>
      </c>
      <c r="D309" s="2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s="2" t="str">
        <f t="shared" si="4"/>
        <v>High</v>
      </c>
    </row>
    <row r="310" spans="1:36" x14ac:dyDescent="0.35">
      <c r="A310">
        <v>58</v>
      </c>
      <c r="B310" t="s">
        <v>43</v>
      </c>
      <c r="C310" t="s">
        <v>55</v>
      </c>
      <c r="D310" s="2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s="2" t="str">
        <f t="shared" si="4"/>
        <v>Medium</v>
      </c>
    </row>
    <row r="311" spans="1:36" x14ac:dyDescent="0.35">
      <c r="A311">
        <v>31</v>
      </c>
      <c r="B311" t="s">
        <v>43</v>
      </c>
      <c r="C311" t="s">
        <v>36</v>
      </c>
      <c r="D311" s="2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s="2" t="str">
        <f t="shared" si="4"/>
        <v>Low</v>
      </c>
    </row>
    <row r="312" spans="1:36" x14ac:dyDescent="0.35">
      <c r="A312">
        <v>31</v>
      </c>
      <c r="B312" t="s">
        <v>43</v>
      </c>
      <c r="C312" t="s">
        <v>36</v>
      </c>
      <c r="D312" s="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s="2" t="str">
        <f t="shared" si="4"/>
        <v>Medium</v>
      </c>
    </row>
    <row r="313" spans="1:36" x14ac:dyDescent="0.35">
      <c r="A313">
        <v>45</v>
      </c>
      <c r="B313" t="s">
        <v>43</v>
      </c>
      <c r="C313" t="s">
        <v>44</v>
      </c>
      <c r="D313" s="2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s="2" t="str">
        <f t="shared" si="4"/>
        <v>Medium</v>
      </c>
    </row>
    <row r="314" spans="1:36" x14ac:dyDescent="0.35">
      <c r="A314">
        <v>31</v>
      </c>
      <c r="B314" t="s">
        <v>43</v>
      </c>
      <c r="C314" t="s">
        <v>36</v>
      </c>
      <c r="D314" s="2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s="2" t="str">
        <f t="shared" si="4"/>
        <v>Low</v>
      </c>
    </row>
    <row r="315" spans="1:36" x14ac:dyDescent="0.35">
      <c r="A315">
        <v>33</v>
      </c>
      <c r="B315" t="s">
        <v>43</v>
      </c>
      <c r="C315" t="s">
        <v>44</v>
      </c>
      <c r="D315" s="2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s="2" t="str">
        <f t="shared" si="4"/>
        <v>High</v>
      </c>
    </row>
    <row r="316" spans="1:36" x14ac:dyDescent="0.35">
      <c r="A316">
        <v>39</v>
      </c>
      <c r="B316" t="s">
        <v>43</v>
      </c>
      <c r="C316" t="s">
        <v>36</v>
      </c>
      <c r="D316" s="2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s="2" t="str">
        <f t="shared" si="4"/>
        <v>High</v>
      </c>
    </row>
    <row r="317" spans="1:36" x14ac:dyDescent="0.35">
      <c r="A317">
        <v>43</v>
      </c>
      <c r="B317" t="s">
        <v>43</v>
      </c>
      <c r="C317" t="s">
        <v>44</v>
      </c>
      <c r="D317" s="2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s="2" t="str">
        <f t="shared" si="4"/>
        <v>Low</v>
      </c>
    </row>
    <row r="318" spans="1:36" x14ac:dyDescent="0.35">
      <c r="A318">
        <v>49</v>
      </c>
      <c r="B318" t="s">
        <v>43</v>
      </c>
      <c r="C318" t="s">
        <v>36</v>
      </c>
      <c r="D318" s="2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s="2" t="str">
        <f t="shared" si="4"/>
        <v>High</v>
      </c>
    </row>
    <row r="319" spans="1:36" x14ac:dyDescent="0.35">
      <c r="A319">
        <v>52</v>
      </c>
      <c r="B319" t="s">
        <v>35</v>
      </c>
      <c r="C319" t="s">
        <v>36</v>
      </c>
      <c r="D319" s="2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s="2" t="str">
        <f t="shared" si="4"/>
        <v>Low</v>
      </c>
    </row>
    <row r="320" spans="1:36" x14ac:dyDescent="0.35">
      <c r="A320">
        <v>27</v>
      </c>
      <c r="B320" t="s">
        <v>43</v>
      </c>
      <c r="C320" t="s">
        <v>36</v>
      </c>
      <c r="D320" s="2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s="2" t="str">
        <f t="shared" si="4"/>
        <v>Low</v>
      </c>
    </row>
    <row r="321" spans="1:36" x14ac:dyDescent="0.35">
      <c r="A321">
        <v>32</v>
      </c>
      <c r="B321" t="s">
        <v>43</v>
      </c>
      <c r="C321" t="s">
        <v>36</v>
      </c>
      <c r="D321" s="2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s="2" t="str">
        <f t="shared" si="4"/>
        <v>Medium</v>
      </c>
    </row>
    <row r="322" spans="1:36" x14ac:dyDescent="0.35">
      <c r="A322">
        <v>27</v>
      </c>
      <c r="B322" t="s">
        <v>43</v>
      </c>
      <c r="C322" t="s">
        <v>36</v>
      </c>
      <c r="D322" s="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s="2" t="str">
        <f t="shared" ref="AJ322:AJ385" si="5">IF(S322&lt;5000,"Low",IF(S322&lt;10000,"Medium","High"))</f>
        <v>Low</v>
      </c>
    </row>
    <row r="323" spans="1:36" x14ac:dyDescent="0.35">
      <c r="A323">
        <v>31</v>
      </c>
      <c r="B323" t="s">
        <v>43</v>
      </c>
      <c r="C323" t="s">
        <v>36</v>
      </c>
      <c r="D323" s="2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s="2" t="str">
        <f t="shared" si="5"/>
        <v>Medium</v>
      </c>
    </row>
    <row r="324" spans="1:36" x14ac:dyDescent="0.35">
      <c r="A324">
        <v>32</v>
      </c>
      <c r="B324" t="s">
        <v>43</v>
      </c>
      <c r="C324" t="s">
        <v>36</v>
      </c>
      <c r="D324" s="2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s="2" t="str">
        <f t="shared" si="5"/>
        <v>Medium</v>
      </c>
    </row>
    <row r="325" spans="1:36" x14ac:dyDescent="0.35">
      <c r="A325">
        <v>28</v>
      </c>
      <c r="B325" t="s">
        <v>35</v>
      </c>
      <c r="C325" t="s">
        <v>36</v>
      </c>
      <c r="D325" s="2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s="2" t="str">
        <f t="shared" si="5"/>
        <v>Low</v>
      </c>
    </row>
    <row r="326" spans="1:36" x14ac:dyDescent="0.35">
      <c r="A326">
        <v>30</v>
      </c>
      <c r="B326" t="s">
        <v>43</v>
      </c>
      <c r="C326" t="s">
        <v>36</v>
      </c>
      <c r="D326" s="2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s="2" t="str">
        <f t="shared" si="5"/>
        <v>Medium</v>
      </c>
    </row>
    <row r="327" spans="1:36" x14ac:dyDescent="0.35">
      <c r="A327">
        <v>31</v>
      </c>
      <c r="B327" t="s">
        <v>43</v>
      </c>
      <c r="C327" t="s">
        <v>44</v>
      </c>
      <c r="D327" s="2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s="2" t="str">
        <f t="shared" si="5"/>
        <v>Medium</v>
      </c>
    </row>
    <row r="328" spans="1:36" x14ac:dyDescent="0.35">
      <c r="A328">
        <v>39</v>
      </c>
      <c r="B328" t="s">
        <v>43</v>
      </c>
      <c r="C328" t="s">
        <v>44</v>
      </c>
      <c r="D328" s="2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s="2" t="str">
        <f t="shared" si="5"/>
        <v>High</v>
      </c>
    </row>
    <row r="329" spans="1:36" x14ac:dyDescent="0.35">
      <c r="A329">
        <v>39</v>
      </c>
      <c r="B329" t="s">
        <v>35</v>
      </c>
      <c r="C329" t="s">
        <v>36</v>
      </c>
      <c r="D329" s="2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s="2" t="str">
        <f t="shared" si="5"/>
        <v>Medium</v>
      </c>
    </row>
    <row r="330" spans="1:36" x14ac:dyDescent="0.35">
      <c r="A330">
        <v>33</v>
      </c>
      <c r="B330" t="s">
        <v>43</v>
      </c>
      <c r="C330" t="s">
        <v>44</v>
      </c>
      <c r="D330" s="2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s="2" t="str">
        <f t="shared" si="5"/>
        <v>Low</v>
      </c>
    </row>
    <row r="331" spans="1:36" x14ac:dyDescent="0.35">
      <c r="A331">
        <v>47</v>
      </c>
      <c r="B331" t="s">
        <v>43</v>
      </c>
      <c r="C331" t="s">
        <v>36</v>
      </c>
      <c r="D331" s="2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s="2" t="str">
        <f t="shared" si="5"/>
        <v>High</v>
      </c>
    </row>
    <row r="332" spans="1:36" x14ac:dyDescent="0.35">
      <c r="A332">
        <v>43</v>
      </c>
      <c r="B332" t="s">
        <v>43</v>
      </c>
      <c r="C332" t="s">
        <v>44</v>
      </c>
      <c r="D332" s="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s="2" t="str">
        <f t="shared" si="5"/>
        <v>Medium</v>
      </c>
    </row>
    <row r="333" spans="1:36" x14ac:dyDescent="0.35">
      <c r="A333">
        <v>27</v>
      </c>
      <c r="B333" t="s">
        <v>43</v>
      </c>
      <c r="C333" t="s">
        <v>55</v>
      </c>
      <c r="D333" s="2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s="2" t="str">
        <f t="shared" si="5"/>
        <v>Medium</v>
      </c>
    </row>
    <row r="334" spans="1:36" x14ac:dyDescent="0.35">
      <c r="A334">
        <v>54</v>
      </c>
      <c r="B334" t="s">
        <v>43</v>
      </c>
      <c r="C334" t="s">
        <v>44</v>
      </c>
      <c r="D334" s="2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s="2" t="str">
        <f t="shared" si="5"/>
        <v>Low</v>
      </c>
    </row>
    <row r="335" spans="1:36" x14ac:dyDescent="0.35">
      <c r="A335">
        <v>43</v>
      </c>
      <c r="B335" t="s">
        <v>43</v>
      </c>
      <c r="C335" t="s">
        <v>36</v>
      </c>
      <c r="D335" s="2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s="2" t="str">
        <f t="shared" si="5"/>
        <v>Medium</v>
      </c>
    </row>
    <row r="336" spans="1:36" x14ac:dyDescent="0.35">
      <c r="A336">
        <v>45</v>
      </c>
      <c r="B336" t="s">
        <v>43</v>
      </c>
      <c r="C336" t="s">
        <v>36</v>
      </c>
      <c r="D336" s="2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s="2" t="str">
        <f t="shared" si="5"/>
        <v>Low</v>
      </c>
    </row>
    <row r="337" spans="1:36" x14ac:dyDescent="0.35">
      <c r="A337">
        <v>40</v>
      </c>
      <c r="B337" t="s">
        <v>43</v>
      </c>
      <c r="C337" t="s">
        <v>36</v>
      </c>
      <c r="D337" s="2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s="2" t="str">
        <f t="shared" si="5"/>
        <v>Medium</v>
      </c>
    </row>
    <row r="338" spans="1:36" x14ac:dyDescent="0.35">
      <c r="A338">
        <v>29</v>
      </c>
      <c r="B338" t="s">
        <v>35</v>
      </c>
      <c r="C338" t="s">
        <v>36</v>
      </c>
      <c r="D338" s="2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s="2" t="str">
        <f t="shared" si="5"/>
        <v>Low</v>
      </c>
    </row>
    <row r="339" spans="1:36" x14ac:dyDescent="0.35">
      <c r="A339">
        <v>29</v>
      </c>
      <c r="B339" t="s">
        <v>43</v>
      </c>
      <c r="C339" t="s">
        <v>36</v>
      </c>
      <c r="D339" s="2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s="2" t="str">
        <f t="shared" si="5"/>
        <v>Low</v>
      </c>
    </row>
    <row r="340" spans="1:36" x14ac:dyDescent="0.35">
      <c r="A340">
        <v>30</v>
      </c>
      <c r="B340" t="s">
        <v>43</v>
      </c>
      <c r="C340" t="s">
        <v>36</v>
      </c>
      <c r="D340" s="2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s="2" t="str">
        <f t="shared" si="5"/>
        <v>Medium</v>
      </c>
    </row>
    <row r="341" spans="1:36" x14ac:dyDescent="0.35">
      <c r="A341">
        <v>27</v>
      </c>
      <c r="B341" t="s">
        <v>43</v>
      </c>
      <c r="C341" t="s">
        <v>36</v>
      </c>
      <c r="D341" s="2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s="2" t="str">
        <f t="shared" si="5"/>
        <v>Medium</v>
      </c>
    </row>
    <row r="342" spans="1:36" x14ac:dyDescent="0.35">
      <c r="A342">
        <v>37</v>
      </c>
      <c r="B342" t="s">
        <v>43</v>
      </c>
      <c r="C342" t="s">
        <v>36</v>
      </c>
      <c r="D342" s="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s="2" t="str">
        <f t="shared" si="5"/>
        <v>Medium</v>
      </c>
    </row>
    <row r="343" spans="1:36" x14ac:dyDescent="0.35">
      <c r="A343">
        <v>38</v>
      </c>
      <c r="B343" t="s">
        <v>43</v>
      </c>
      <c r="C343" t="s">
        <v>36</v>
      </c>
      <c r="D343" s="2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s="2" t="str">
        <f t="shared" si="5"/>
        <v>High</v>
      </c>
    </row>
    <row r="344" spans="1:36" x14ac:dyDescent="0.35">
      <c r="A344">
        <v>31</v>
      </c>
      <c r="B344" t="s">
        <v>43</v>
      </c>
      <c r="C344" t="s">
        <v>36</v>
      </c>
      <c r="D344" s="2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s="2" t="str">
        <f t="shared" si="5"/>
        <v>Medium</v>
      </c>
    </row>
    <row r="345" spans="1:36" x14ac:dyDescent="0.35">
      <c r="A345">
        <v>29</v>
      </c>
      <c r="B345" t="s">
        <v>43</v>
      </c>
      <c r="C345" t="s">
        <v>36</v>
      </c>
      <c r="D345" s="2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s="2" t="str">
        <f t="shared" si="5"/>
        <v>Medium</v>
      </c>
    </row>
    <row r="346" spans="1:36" x14ac:dyDescent="0.35">
      <c r="A346">
        <v>35</v>
      </c>
      <c r="B346" t="s">
        <v>43</v>
      </c>
      <c r="C346" t="s">
        <v>36</v>
      </c>
      <c r="D346" s="2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s="2" t="str">
        <f t="shared" si="5"/>
        <v>Medium</v>
      </c>
    </row>
    <row r="347" spans="1:36" x14ac:dyDescent="0.35">
      <c r="A347">
        <v>23</v>
      </c>
      <c r="B347" t="s">
        <v>43</v>
      </c>
      <c r="C347" t="s">
        <v>36</v>
      </c>
      <c r="D347" s="2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s="2" t="str">
        <f t="shared" si="5"/>
        <v>Low</v>
      </c>
    </row>
    <row r="348" spans="1:36" x14ac:dyDescent="0.35">
      <c r="A348">
        <v>41</v>
      </c>
      <c r="B348" t="s">
        <v>43</v>
      </c>
      <c r="C348" t="s">
        <v>36</v>
      </c>
      <c r="D348" s="2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s="2" t="str">
        <f t="shared" si="5"/>
        <v>Medium</v>
      </c>
    </row>
    <row r="349" spans="1:36" x14ac:dyDescent="0.35">
      <c r="A349">
        <v>47</v>
      </c>
      <c r="B349" t="s">
        <v>43</v>
      </c>
      <c r="C349" t="s">
        <v>44</v>
      </c>
      <c r="D349" s="2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s="2" t="str">
        <f t="shared" si="5"/>
        <v>Low</v>
      </c>
    </row>
    <row r="350" spans="1:36" x14ac:dyDescent="0.35">
      <c r="A350">
        <v>42</v>
      </c>
      <c r="B350" t="s">
        <v>43</v>
      </c>
      <c r="C350" t="s">
        <v>36</v>
      </c>
      <c r="D350" s="2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s="2" t="str">
        <f t="shared" si="5"/>
        <v>High</v>
      </c>
    </row>
    <row r="351" spans="1:36" x14ac:dyDescent="0.35">
      <c r="A351">
        <v>29</v>
      </c>
      <c r="B351" t="s">
        <v>43</v>
      </c>
      <c r="C351" t="s">
        <v>55</v>
      </c>
      <c r="D351" s="2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s="2" t="str">
        <f t="shared" si="5"/>
        <v>Low</v>
      </c>
    </row>
    <row r="352" spans="1:36" x14ac:dyDescent="0.35">
      <c r="A352">
        <v>42</v>
      </c>
      <c r="B352" t="s">
        <v>43</v>
      </c>
      <c r="C352" t="s">
        <v>36</v>
      </c>
      <c r="D352" s="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s="2" t="str">
        <f t="shared" si="5"/>
        <v>Low</v>
      </c>
    </row>
    <row r="353" spans="1:36" x14ac:dyDescent="0.35">
      <c r="A353">
        <v>32</v>
      </c>
      <c r="B353" t="s">
        <v>43</v>
      </c>
      <c r="C353" t="s">
        <v>36</v>
      </c>
      <c r="D353" s="2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s="2" t="str">
        <f t="shared" si="5"/>
        <v>Low</v>
      </c>
    </row>
    <row r="354" spans="1:36" x14ac:dyDescent="0.35">
      <c r="A354">
        <v>48</v>
      </c>
      <c r="B354" t="s">
        <v>43</v>
      </c>
      <c r="C354" t="s">
        <v>36</v>
      </c>
      <c r="D354" s="2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s="2" t="str">
        <f t="shared" si="5"/>
        <v>High</v>
      </c>
    </row>
    <row r="355" spans="1:36" x14ac:dyDescent="0.35">
      <c r="A355">
        <v>37</v>
      </c>
      <c r="B355" t="s">
        <v>43</v>
      </c>
      <c r="C355" t="s">
        <v>36</v>
      </c>
      <c r="D355" s="2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s="2" t="str">
        <f t="shared" si="5"/>
        <v>Medium</v>
      </c>
    </row>
    <row r="356" spans="1:36" x14ac:dyDescent="0.35">
      <c r="A356">
        <v>30</v>
      </c>
      <c r="B356" t="s">
        <v>43</v>
      </c>
      <c r="C356" t="s">
        <v>55</v>
      </c>
      <c r="D356" s="2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s="2" t="str">
        <f t="shared" si="5"/>
        <v>Low</v>
      </c>
    </row>
    <row r="357" spans="1:36" x14ac:dyDescent="0.35">
      <c r="A357">
        <v>26</v>
      </c>
      <c r="B357" t="s">
        <v>43</v>
      </c>
      <c r="C357" t="s">
        <v>36</v>
      </c>
      <c r="D357" s="2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s="2" t="str">
        <f t="shared" si="5"/>
        <v>Medium</v>
      </c>
    </row>
    <row r="358" spans="1:36" x14ac:dyDescent="0.35">
      <c r="A358">
        <v>42</v>
      </c>
      <c r="B358" t="s">
        <v>43</v>
      </c>
      <c r="C358" t="s">
        <v>36</v>
      </c>
      <c r="D358" s="2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s="2" t="str">
        <f t="shared" si="5"/>
        <v>Medium</v>
      </c>
    </row>
    <row r="359" spans="1:36" x14ac:dyDescent="0.35">
      <c r="A359">
        <v>21</v>
      </c>
      <c r="B359" t="s">
        <v>35</v>
      </c>
      <c r="C359" t="s">
        <v>44</v>
      </c>
      <c r="D359" s="2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s="2" t="str">
        <f t="shared" si="5"/>
        <v>Low</v>
      </c>
    </row>
    <row r="360" spans="1:36" x14ac:dyDescent="0.35">
      <c r="A360">
        <v>36</v>
      </c>
      <c r="B360" t="s">
        <v>43</v>
      </c>
      <c r="C360" t="s">
        <v>55</v>
      </c>
      <c r="D360" s="2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s="2" t="str">
        <f t="shared" si="5"/>
        <v>Medium</v>
      </c>
    </row>
    <row r="361" spans="1:36" x14ac:dyDescent="0.35">
      <c r="A361">
        <v>36</v>
      </c>
      <c r="B361" t="s">
        <v>43</v>
      </c>
      <c r="C361" t="s">
        <v>44</v>
      </c>
      <c r="D361" s="2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s="2" t="str">
        <f t="shared" si="5"/>
        <v>Medium</v>
      </c>
    </row>
    <row r="362" spans="1:36" x14ac:dyDescent="0.35">
      <c r="A362">
        <v>57</v>
      </c>
      <c r="B362" t="s">
        <v>43</v>
      </c>
      <c r="C362" t="s">
        <v>36</v>
      </c>
      <c r="D362" s="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s="2" t="str">
        <f t="shared" si="5"/>
        <v>Medium</v>
      </c>
    </row>
    <row r="363" spans="1:36" x14ac:dyDescent="0.35">
      <c r="A363">
        <v>40</v>
      </c>
      <c r="B363" t="s">
        <v>43</v>
      </c>
      <c r="C363" t="s">
        <v>36</v>
      </c>
      <c r="D363" s="2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s="2" t="str">
        <f t="shared" si="5"/>
        <v>Low</v>
      </c>
    </row>
    <row r="364" spans="1:36" x14ac:dyDescent="0.35">
      <c r="A364">
        <v>21</v>
      </c>
      <c r="B364" t="s">
        <v>43</v>
      </c>
      <c r="C364" t="s">
        <v>55</v>
      </c>
      <c r="D364" s="2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s="2" t="str">
        <f t="shared" si="5"/>
        <v>Low</v>
      </c>
    </row>
    <row r="365" spans="1:36" x14ac:dyDescent="0.35">
      <c r="A365">
        <v>33</v>
      </c>
      <c r="B365" t="s">
        <v>35</v>
      </c>
      <c r="C365" t="s">
        <v>36</v>
      </c>
      <c r="D365" s="2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s="2" t="str">
        <f t="shared" si="5"/>
        <v>Low</v>
      </c>
    </row>
    <row r="366" spans="1:36" x14ac:dyDescent="0.35">
      <c r="A366">
        <v>37</v>
      </c>
      <c r="B366" t="s">
        <v>43</v>
      </c>
      <c r="C366" t="s">
        <v>36</v>
      </c>
      <c r="D366" s="2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s="2" t="str">
        <f t="shared" si="5"/>
        <v>Low</v>
      </c>
    </row>
    <row r="367" spans="1:36" x14ac:dyDescent="0.35">
      <c r="A367">
        <v>46</v>
      </c>
      <c r="B367" t="s">
        <v>43</v>
      </c>
      <c r="C367" t="s">
        <v>55</v>
      </c>
      <c r="D367" s="2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s="2" t="str">
        <f t="shared" si="5"/>
        <v>Medium</v>
      </c>
    </row>
    <row r="368" spans="1:36" x14ac:dyDescent="0.35">
      <c r="A368">
        <v>41</v>
      </c>
      <c r="B368" t="s">
        <v>35</v>
      </c>
      <c r="C368" t="s">
        <v>44</v>
      </c>
      <c r="D368" s="2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s="2" t="str">
        <f t="shared" si="5"/>
        <v>Medium</v>
      </c>
    </row>
    <row r="369" spans="1:36" x14ac:dyDescent="0.35">
      <c r="A369">
        <v>50</v>
      </c>
      <c r="B369" t="s">
        <v>43</v>
      </c>
      <c r="C369" t="s">
        <v>36</v>
      </c>
      <c r="D369" s="2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s="2" t="str">
        <f t="shared" si="5"/>
        <v>High</v>
      </c>
    </row>
    <row r="370" spans="1:36" x14ac:dyDescent="0.35">
      <c r="A370">
        <v>40</v>
      </c>
      <c r="B370" t="s">
        <v>35</v>
      </c>
      <c r="C370" t="s">
        <v>36</v>
      </c>
      <c r="D370" s="2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s="2" t="str">
        <f t="shared" si="5"/>
        <v>Medium</v>
      </c>
    </row>
    <row r="371" spans="1:36" x14ac:dyDescent="0.35">
      <c r="A371">
        <v>31</v>
      </c>
      <c r="B371" t="s">
        <v>43</v>
      </c>
      <c r="C371" t="s">
        <v>36</v>
      </c>
      <c r="D371" s="2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s="2" t="str">
        <f t="shared" si="5"/>
        <v>Low</v>
      </c>
    </row>
    <row r="372" spans="1:36" x14ac:dyDescent="0.35">
      <c r="A372">
        <v>21</v>
      </c>
      <c r="B372" t="s">
        <v>35</v>
      </c>
      <c r="C372" t="s">
        <v>36</v>
      </c>
      <c r="D372" s="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s="2" t="str">
        <f t="shared" si="5"/>
        <v>Low</v>
      </c>
    </row>
    <row r="373" spans="1:36" x14ac:dyDescent="0.35">
      <c r="A373">
        <v>29</v>
      </c>
      <c r="B373" t="s">
        <v>43</v>
      </c>
      <c r="C373" t="s">
        <v>36</v>
      </c>
      <c r="D373" s="2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s="2" t="str">
        <f t="shared" si="5"/>
        <v>Low</v>
      </c>
    </row>
    <row r="374" spans="1:36" x14ac:dyDescent="0.35">
      <c r="A374">
        <v>35</v>
      </c>
      <c r="B374" t="s">
        <v>43</v>
      </c>
      <c r="C374" t="s">
        <v>36</v>
      </c>
      <c r="D374" s="2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s="2" t="str">
        <f t="shared" si="5"/>
        <v>Medium</v>
      </c>
    </row>
    <row r="375" spans="1:36" x14ac:dyDescent="0.35">
      <c r="A375">
        <v>27</v>
      </c>
      <c r="B375" t="s">
        <v>43</v>
      </c>
      <c r="C375" t="s">
        <v>36</v>
      </c>
      <c r="D375" s="2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s="2" t="str">
        <f t="shared" si="5"/>
        <v>Low</v>
      </c>
    </row>
    <row r="376" spans="1:36" x14ac:dyDescent="0.35">
      <c r="A376">
        <v>28</v>
      </c>
      <c r="B376" t="s">
        <v>43</v>
      </c>
      <c r="C376" t="s">
        <v>36</v>
      </c>
      <c r="D376" s="2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s="2" t="str">
        <f t="shared" si="5"/>
        <v>Medium</v>
      </c>
    </row>
    <row r="377" spans="1:36" x14ac:dyDescent="0.35">
      <c r="A377">
        <v>49</v>
      </c>
      <c r="B377" t="s">
        <v>43</v>
      </c>
      <c r="C377" t="s">
        <v>36</v>
      </c>
      <c r="D377" s="2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s="2" t="str">
        <f t="shared" si="5"/>
        <v>High</v>
      </c>
    </row>
    <row r="378" spans="1:36" x14ac:dyDescent="0.35">
      <c r="A378">
        <v>51</v>
      </c>
      <c r="B378" t="s">
        <v>43</v>
      </c>
      <c r="C378" t="s">
        <v>36</v>
      </c>
      <c r="D378" s="2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s="2" t="str">
        <f t="shared" si="5"/>
        <v>Low</v>
      </c>
    </row>
    <row r="379" spans="1:36" x14ac:dyDescent="0.35">
      <c r="A379">
        <v>36</v>
      </c>
      <c r="B379" t="s">
        <v>43</v>
      </c>
      <c r="C379" t="s">
        <v>36</v>
      </c>
      <c r="D379" s="2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s="2" t="str">
        <f t="shared" si="5"/>
        <v>Low</v>
      </c>
    </row>
    <row r="380" spans="1:36" x14ac:dyDescent="0.35">
      <c r="A380">
        <v>34</v>
      </c>
      <c r="B380" t="s">
        <v>35</v>
      </c>
      <c r="C380" t="s">
        <v>55</v>
      </c>
      <c r="D380" s="2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s="2" t="str">
        <f t="shared" si="5"/>
        <v>Medium</v>
      </c>
    </row>
    <row r="381" spans="1:36" x14ac:dyDescent="0.35">
      <c r="A381">
        <v>55</v>
      </c>
      <c r="B381" t="s">
        <v>43</v>
      </c>
      <c r="C381" t="s">
        <v>36</v>
      </c>
      <c r="D381" s="2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s="2" t="str">
        <f t="shared" si="5"/>
        <v>High</v>
      </c>
    </row>
    <row r="382" spans="1:36" x14ac:dyDescent="0.35">
      <c r="A382">
        <v>24</v>
      </c>
      <c r="B382" t="s">
        <v>43</v>
      </c>
      <c r="C382" t="s">
        <v>36</v>
      </c>
      <c r="D382" s="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s="2" t="str">
        <f t="shared" si="5"/>
        <v>Low</v>
      </c>
    </row>
    <row r="383" spans="1:36" x14ac:dyDescent="0.35">
      <c r="A383">
        <v>30</v>
      </c>
      <c r="B383" t="s">
        <v>43</v>
      </c>
      <c r="C383" t="s">
        <v>36</v>
      </c>
      <c r="D383" s="2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s="2" t="str">
        <f t="shared" si="5"/>
        <v>Low</v>
      </c>
    </row>
    <row r="384" spans="1:36" x14ac:dyDescent="0.35">
      <c r="A384">
        <v>26</v>
      </c>
      <c r="B384" t="s">
        <v>35</v>
      </c>
      <c r="C384" t="s">
        <v>44</v>
      </c>
      <c r="D384" s="2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s="2" t="str">
        <f t="shared" si="5"/>
        <v>Low</v>
      </c>
    </row>
    <row r="385" spans="1:36" x14ac:dyDescent="0.35">
      <c r="A385">
        <v>22</v>
      </c>
      <c r="B385" t="s">
        <v>43</v>
      </c>
      <c r="C385" t="s">
        <v>36</v>
      </c>
      <c r="D385" s="2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s="2" t="str">
        <f t="shared" si="5"/>
        <v>Low</v>
      </c>
    </row>
    <row r="386" spans="1:36" x14ac:dyDescent="0.35">
      <c r="A386">
        <v>36</v>
      </c>
      <c r="B386" t="s">
        <v>43</v>
      </c>
      <c r="C386" t="s">
        <v>36</v>
      </c>
      <c r="D386" s="2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s="2" t="str">
        <f t="shared" ref="AJ386:AJ449" si="6">IF(S386&lt;5000,"Low",IF(S386&lt;10000,"Medium","High"))</f>
        <v>Medium</v>
      </c>
    </row>
    <row r="387" spans="1:36" x14ac:dyDescent="0.35">
      <c r="A387">
        <v>30</v>
      </c>
      <c r="B387" t="s">
        <v>35</v>
      </c>
      <c r="C387" t="s">
        <v>44</v>
      </c>
      <c r="D387" s="2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s="2" t="str">
        <f t="shared" si="6"/>
        <v>Low</v>
      </c>
    </row>
    <row r="388" spans="1:36" x14ac:dyDescent="0.35">
      <c r="A388">
        <v>37</v>
      </c>
      <c r="B388" t="s">
        <v>43</v>
      </c>
      <c r="C388" t="s">
        <v>36</v>
      </c>
      <c r="D388" s="2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s="2" t="str">
        <f t="shared" si="6"/>
        <v>Low</v>
      </c>
    </row>
    <row r="389" spans="1:36" x14ac:dyDescent="0.35">
      <c r="A389">
        <v>40</v>
      </c>
      <c r="B389" t="s">
        <v>43</v>
      </c>
      <c r="C389" t="s">
        <v>36</v>
      </c>
      <c r="D389" s="2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s="2" t="str">
        <f t="shared" si="6"/>
        <v>Medium</v>
      </c>
    </row>
    <row r="390" spans="1:36" x14ac:dyDescent="0.35">
      <c r="A390">
        <v>42</v>
      </c>
      <c r="B390" t="s">
        <v>43</v>
      </c>
      <c r="C390" t="s">
        <v>36</v>
      </c>
      <c r="D390" s="2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s="2" t="str">
        <f t="shared" si="6"/>
        <v>Low</v>
      </c>
    </row>
    <row r="391" spans="1:36" x14ac:dyDescent="0.35">
      <c r="A391">
        <v>37</v>
      </c>
      <c r="B391" t="s">
        <v>43</v>
      </c>
      <c r="C391" t="s">
        <v>36</v>
      </c>
      <c r="D391" s="2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s="2" t="str">
        <f t="shared" si="6"/>
        <v>Low</v>
      </c>
    </row>
    <row r="392" spans="1:36" x14ac:dyDescent="0.35">
      <c r="A392">
        <v>43</v>
      </c>
      <c r="B392" t="s">
        <v>43</v>
      </c>
      <c r="C392" t="s">
        <v>36</v>
      </c>
      <c r="D392" s="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s="2" t="str">
        <f t="shared" si="6"/>
        <v>High</v>
      </c>
    </row>
    <row r="393" spans="1:36" x14ac:dyDescent="0.35">
      <c r="A393">
        <v>40</v>
      </c>
      <c r="B393" t="s">
        <v>43</v>
      </c>
      <c r="C393" t="s">
        <v>36</v>
      </c>
      <c r="D393" s="2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s="2" t="str">
        <f t="shared" si="6"/>
        <v>Low</v>
      </c>
    </row>
    <row r="394" spans="1:36" x14ac:dyDescent="0.35">
      <c r="A394">
        <v>54</v>
      </c>
      <c r="B394" t="s">
        <v>43</v>
      </c>
      <c r="C394" t="s">
        <v>36</v>
      </c>
      <c r="D394" s="2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s="2" t="str">
        <f t="shared" si="6"/>
        <v>High</v>
      </c>
    </row>
    <row r="395" spans="1:36" x14ac:dyDescent="0.35">
      <c r="A395">
        <v>34</v>
      </c>
      <c r="B395" t="s">
        <v>43</v>
      </c>
      <c r="C395" t="s">
        <v>55</v>
      </c>
      <c r="D395" s="2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s="2" t="str">
        <f t="shared" si="6"/>
        <v>Medium</v>
      </c>
    </row>
    <row r="396" spans="1:36" x14ac:dyDescent="0.35">
      <c r="A396">
        <v>31</v>
      </c>
      <c r="B396" t="s">
        <v>43</v>
      </c>
      <c r="C396" t="s">
        <v>36</v>
      </c>
      <c r="D396" s="2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s="2" t="str">
        <f t="shared" si="6"/>
        <v>Low</v>
      </c>
    </row>
    <row r="397" spans="1:36" x14ac:dyDescent="0.35">
      <c r="A397">
        <v>43</v>
      </c>
      <c r="B397" t="s">
        <v>43</v>
      </c>
      <c r="C397" t="s">
        <v>44</v>
      </c>
      <c r="D397" s="2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s="2" t="str">
        <f t="shared" si="6"/>
        <v>Low</v>
      </c>
    </row>
    <row r="398" spans="1:36" x14ac:dyDescent="0.35">
      <c r="A398">
        <v>43</v>
      </c>
      <c r="B398" t="s">
        <v>43</v>
      </c>
      <c r="C398" t="s">
        <v>36</v>
      </c>
      <c r="D398" s="2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s="2" t="str">
        <f t="shared" si="6"/>
        <v>Low</v>
      </c>
    </row>
    <row r="399" spans="1:36" x14ac:dyDescent="0.35">
      <c r="A399">
        <v>25</v>
      </c>
      <c r="B399" t="s">
        <v>43</v>
      </c>
      <c r="C399" t="s">
        <v>36</v>
      </c>
      <c r="D399" s="2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s="2" t="str">
        <f t="shared" si="6"/>
        <v>Low</v>
      </c>
    </row>
    <row r="400" spans="1:36" x14ac:dyDescent="0.35">
      <c r="A400">
        <v>37</v>
      </c>
      <c r="B400" t="s">
        <v>43</v>
      </c>
      <c r="C400" t="s">
        <v>55</v>
      </c>
      <c r="D400" s="2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s="2" t="str">
        <f t="shared" si="6"/>
        <v>Low</v>
      </c>
    </row>
    <row r="401" spans="1:36" x14ac:dyDescent="0.35">
      <c r="A401">
        <v>31</v>
      </c>
      <c r="B401" t="s">
        <v>43</v>
      </c>
      <c r="C401" t="s">
        <v>36</v>
      </c>
      <c r="D401" s="2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s="2" t="str">
        <f t="shared" si="6"/>
        <v>Low</v>
      </c>
    </row>
    <row r="402" spans="1:36" x14ac:dyDescent="0.35">
      <c r="A402">
        <v>39</v>
      </c>
      <c r="B402" t="s">
        <v>43</v>
      </c>
      <c r="C402" t="s">
        <v>44</v>
      </c>
      <c r="D402" s="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s="2" t="str">
        <f t="shared" si="6"/>
        <v>High</v>
      </c>
    </row>
    <row r="403" spans="1:36" x14ac:dyDescent="0.35">
      <c r="A403">
        <v>56</v>
      </c>
      <c r="B403" t="s">
        <v>43</v>
      </c>
      <c r="C403" t="s">
        <v>44</v>
      </c>
      <c r="D403" s="2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s="2" t="str">
        <f t="shared" si="6"/>
        <v>High</v>
      </c>
    </row>
    <row r="404" spans="1:36" x14ac:dyDescent="0.35">
      <c r="A404">
        <v>30</v>
      </c>
      <c r="B404" t="s">
        <v>43</v>
      </c>
      <c r="C404" t="s">
        <v>36</v>
      </c>
      <c r="D404" s="2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s="2" t="str">
        <f t="shared" si="6"/>
        <v>Medium</v>
      </c>
    </row>
    <row r="405" spans="1:36" x14ac:dyDescent="0.35">
      <c r="A405">
        <v>41</v>
      </c>
      <c r="B405" t="s">
        <v>43</v>
      </c>
      <c r="C405" t="s">
        <v>36</v>
      </c>
      <c r="D405" s="2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s="2" t="str">
        <f t="shared" si="6"/>
        <v>Medium</v>
      </c>
    </row>
    <row r="406" spans="1:36" x14ac:dyDescent="0.35">
      <c r="A406">
        <v>28</v>
      </c>
      <c r="B406" t="s">
        <v>43</v>
      </c>
      <c r="C406" t="s">
        <v>36</v>
      </c>
      <c r="D406" s="2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s="2" t="str">
        <f t="shared" si="6"/>
        <v>Low</v>
      </c>
    </row>
    <row r="407" spans="1:36" x14ac:dyDescent="0.35">
      <c r="A407">
        <v>25</v>
      </c>
      <c r="B407" t="s">
        <v>35</v>
      </c>
      <c r="C407" t="s">
        <v>36</v>
      </c>
      <c r="D407" s="2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s="2" t="str">
        <f t="shared" si="6"/>
        <v>Low</v>
      </c>
    </row>
    <row r="408" spans="1:36" x14ac:dyDescent="0.35">
      <c r="A408">
        <v>52</v>
      </c>
      <c r="B408" t="s">
        <v>43</v>
      </c>
      <c r="C408" t="s">
        <v>36</v>
      </c>
      <c r="D408" s="2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s="2" t="str">
        <f t="shared" si="6"/>
        <v>Medium</v>
      </c>
    </row>
    <row r="409" spans="1:36" x14ac:dyDescent="0.35">
      <c r="A409">
        <v>45</v>
      </c>
      <c r="B409" t="s">
        <v>43</v>
      </c>
      <c r="C409" t="s">
        <v>36</v>
      </c>
      <c r="D409" s="2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s="2" t="str">
        <f t="shared" si="6"/>
        <v>Low</v>
      </c>
    </row>
    <row r="410" spans="1:36" x14ac:dyDescent="0.35">
      <c r="A410">
        <v>52</v>
      </c>
      <c r="B410" t="s">
        <v>43</v>
      </c>
      <c r="C410" t="s">
        <v>36</v>
      </c>
      <c r="D410" s="2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s="2" t="str">
        <f t="shared" si="6"/>
        <v>High</v>
      </c>
    </row>
    <row r="411" spans="1:36" x14ac:dyDescent="0.35">
      <c r="A411">
        <v>42</v>
      </c>
      <c r="B411" t="s">
        <v>43</v>
      </c>
      <c r="C411" t="s">
        <v>44</v>
      </c>
      <c r="D411" s="2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s="2" t="str">
        <f t="shared" si="6"/>
        <v>Low</v>
      </c>
    </row>
    <row r="412" spans="1:36" x14ac:dyDescent="0.35">
      <c r="A412">
        <v>30</v>
      </c>
      <c r="B412" t="s">
        <v>43</v>
      </c>
      <c r="C412" t="s">
        <v>36</v>
      </c>
      <c r="D412" s="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s="2" t="str">
        <f t="shared" si="6"/>
        <v>Medium</v>
      </c>
    </row>
    <row r="413" spans="1:36" x14ac:dyDescent="0.35">
      <c r="A413">
        <v>60</v>
      </c>
      <c r="B413" t="s">
        <v>43</v>
      </c>
      <c r="C413" t="s">
        <v>36</v>
      </c>
      <c r="D413" s="2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s="2" t="str">
        <f t="shared" si="6"/>
        <v>High</v>
      </c>
    </row>
    <row r="414" spans="1:36" x14ac:dyDescent="0.35">
      <c r="A414">
        <v>46</v>
      </c>
      <c r="B414" t="s">
        <v>43</v>
      </c>
      <c r="C414" t="s">
        <v>36</v>
      </c>
      <c r="D414" s="2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s="2" t="str">
        <f t="shared" si="6"/>
        <v>Low</v>
      </c>
    </row>
    <row r="415" spans="1:36" x14ac:dyDescent="0.35">
      <c r="A415">
        <v>42</v>
      </c>
      <c r="B415" t="s">
        <v>43</v>
      </c>
      <c r="C415" t="s">
        <v>44</v>
      </c>
      <c r="D415" s="2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s="2" t="str">
        <f t="shared" si="6"/>
        <v>Low</v>
      </c>
    </row>
    <row r="416" spans="1:36" x14ac:dyDescent="0.35">
      <c r="A416">
        <v>24</v>
      </c>
      <c r="B416" t="s">
        <v>35</v>
      </c>
      <c r="C416" t="s">
        <v>36</v>
      </c>
      <c r="D416" s="2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s="2" t="str">
        <f t="shared" si="6"/>
        <v>Low</v>
      </c>
    </row>
    <row r="417" spans="1:36" x14ac:dyDescent="0.35">
      <c r="A417">
        <v>34</v>
      </c>
      <c r="B417" t="s">
        <v>35</v>
      </c>
      <c r="C417" t="s">
        <v>44</v>
      </c>
      <c r="D417" s="2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s="2" t="str">
        <f t="shared" si="6"/>
        <v>Low</v>
      </c>
    </row>
    <row r="418" spans="1:36" x14ac:dyDescent="0.35">
      <c r="A418">
        <v>38</v>
      </c>
      <c r="B418" t="s">
        <v>43</v>
      </c>
      <c r="C418" t="s">
        <v>44</v>
      </c>
      <c r="D418" s="2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s="2" t="str">
        <f t="shared" si="6"/>
        <v>Low</v>
      </c>
    </row>
    <row r="419" spans="1:36" x14ac:dyDescent="0.35">
      <c r="A419">
        <v>40</v>
      </c>
      <c r="B419" t="s">
        <v>43</v>
      </c>
      <c r="C419" t="s">
        <v>36</v>
      </c>
      <c r="D419" s="2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s="2" t="str">
        <f t="shared" si="6"/>
        <v>High</v>
      </c>
    </row>
    <row r="420" spans="1:36" x14ac:dyDescent="0.35">
      <c r="A420">
        <v>26</v>
      </c>
      <c r="B420" t="s">
        <v>43</v>
      </c>
      <c r="C420" t="s">
        <v>36</v>
      </c>
      <c r="D420" s="2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s="2" t="str">
        <f t="shared" si="6"/>
        <v>Low</v>
      </c>
    </row>
    <row r="421" spans="1:36" x14ac:dyDescent="0.35">
      <c r="A421">
        <v>30</v>
      </c>
      <c r="B421" t="s">
        <v>43</v>
      </c>
      <c r="C421" t="s">
        <v>55</v>
      </c>
      <c r="D421" s="2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s="2" t="str">
        <f t="shared" si="6"/>
        <v>Low</v>
      </c>
    </row>
    <row r="422" spans="1:36" x14ac:dyDescent="0.35">
      <c r="A422">
        <v>29</v>
      </c>
      <c r="B422" t="s">
        <v>43</v>
      </c>
      <c r="C422" t="s">
        <v>36</v>
      </c>
      <c r="D422" s="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s="2" t="str">
        <f t="shared" si="6"/>
        <v>High</v>
      </c>
    </row>
    <row r="423" spans="1:36" x14ac:dyDescent="0.35">
      <c r="A423">
        <v>29</v>
      </c>
      <c r="B423" t="s">
        <v>35</v>
      </c>
      <c r="C423" t="s">
        <v>36</v>
      </c>
      <c r="D423" s="2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s="2" t="str">
        <f t="shared" si="6"/>
        <v>Low</v>
      </c>
    </row>
    <row r="424" spans="1:36" x14ac:dyDescent="0.35">
      <c r="A424">
        <v>19</v>
      </c>
      <c r="B424" t="s">
        <v>35</v>
      </c>
      <c r="C424" t="s">
        <v>36</v>
      </c>
      <c r="D424" s="2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s="2" t="str">
        <f t="shared" si="6"/>
        <v>Low</v>
      </c>
    </row>
    <row r="425" spans="1:36" x14ac:dyDescent="0.35">
      <c r="A425">
        <v>30</v>
      </c>
      <c r="B425" t="s">
        <v>43</v>
      </c>
      <c r="C425" t="s">
        <v>55</v>
      </c>
      <c r="D425" s="2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s="2" t="str">
        <f t="shared" si="6"/>
        <v>Medium</v>
      </c>
    </row>
    <row r="426" spans="1:36" x14ac:dyDescent="0.35">
      <c r="A426">
        <v>57</v>
      </c>
      <c r="B426" t="s">
        <v>43</v>
      </c>
      <c r="C426" t="s">
        <v>36</v>
      </c>
      <c r="D426" s="2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s="2" t="str">
        <f t="shared" si="6"/>
        <v>High</v>
      </c>
    </row>
    <row r="427" spans="1:36" x14ac:dyDescent="0.35">
      <c r="A427">
        <v>50</v>
      </c>
      <c r="B427" t="s">
        <v>43</v>
      </c>
      <c r="C427" t="s">
        <v>36</v>
      </c>
      <c r="D427" s="2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s="2" t="str">
        <f t="shared" si="6"/>
        <v>High</v>
      </c>
    </row>
    <row r="428" spans="1:36" x14ac:dyDescent="0.35">
      <c r="A428">
        <v>30</v>
      </c>
      <c r="B428" t="s">
        <v>43</v>
      </c>
      <c r="C428" t="s">
        <v>55</v>
      </c>
      <c r="D428" s="2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s="2" t="str">
        <f t="shared" si="6"/>
        <v>Low</v>
      </c>
    </row>
    <row r="429" spans="1:36" x14ac:dyDescent="0.35">
      <c r="A429">
        <v>60</v>
      </c>
      <c r="B429" t="s">
        <v>43</v>
      </c>
      <c r="C429" t="s">
        <v>44</v>
      </c>
      <c r="D429" s="2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s="2" t="str">
        <f t="shared" si="6"/>
        <v>High</v>
      </c>
    </row>
    <row r="430" spans="1:36" x14ac:dyDescent="0.35">
      <c r="A430">
        <v>47</v>
      </c>
      <c r="B430" t="s">
        <v>43</v>
      </c>
      <c r="C430" t="s">
        <v>36</v>
      </c>
      <c r="D430" s="2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s="2" t="str">
        <f t="shared" si="6"/>
        <v>Medium</v>
      </c>
    </row>
    <row r="431" spans="1:36" x14ac:dyDescent="0.35">
      <c r="A431">
        <v>46</v>
      </c>
      <c r="B431" t="s">
        <v>43</v>
      </c>
      <c r="C431" t="s">
        <v>36</v>
      </c>
      <c r="D431" s="2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s="2" t="str">
        <f t="shared" si="6"/>
        <v>High</v>
      </c>
    </row>
    <row r="432" spans="1:36" x14ac:dyDescent="0.35">
      <c r="A432">
        <v>35</v>
      </c>
      <c r="B432" t="s">
        <v>43</v>
      </c>
      <c r="C432" t="s">
        <v>36</v>
      </c>
      <c r="D432" s="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s="2" t="str">
        <f t="shared" si="6"/>
        <v>Low</v>
      </c>
    </row>
    <row r="433" spans="1:36" x14ac:dyDescent="0.35">
      <c r="A433">
        <v>54</v>
      </c>
      <c r="B433" t="s">
        <v>43</v>
      </c>
      <c r="C433" t="s">
        <v>36</v>
      </c>
      <c r="D433" s="2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s="2" t="str">
        <f t="shared" si="6"/>
        <v>Low</v>
      </c>
    </row>
    <row r="434" spans="1:36" x14ac:dyDescent="0.35">
      <c r="A434">
        <v>34</v>
      </c>
      <c r="B434" t="s">
        <v>43</v>
      </c>
      <c r="C434" t="s">
        <v>36</v>
      </c>
      <c r="D434" s="2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s="2" t="str">
        <f t="shared" si="6"/>
        <v>Low</v>
      </c>
    </row>
    <row r="435" spans="1:36" x14ac:dyDescent="0.35">
      <c r="A435">
        <v>46</v>
      </c>
      <c r="B435" t="s">
        <v>43</v>
      </c>
      <c r="C435" t="s">
        <v>36</v>
      </c>
      <c r="D435" s="2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s="2" t="str">
        <f t="shared" si="6"/>
        <v>Medium</v>
      </c>
    </row>
    <row r="436" spans="1:36" x14ac:dyDescent="0.35">
      <c r="A436">
        <v>31</v>
      </c>
      <c r="B436" t="s">
        <v>43</v>
      </c>
      <c r="C436" t="s">
        <v>36</v>
      </c>
      <c r="D436" s="2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s="2" t="str">
        <f t="shared" si="6"/>
        <v>High</v>
      </c>
    </row>
    <row r="437" spans="1:36" x14ac:dyDescent="0.35">
      <c r="A437">
        <v>33</v>
      </c>
      <c r="B437" t="s">
        <v>35</v>
      </c>
      <c r="C437" t="s">
        <v>36</v>
      </c>
      <c r="D437" s="2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s="2" t="str">
        <f t="shared" si="6"/>
        <v>High</v>
      </c>
    </row>
    <row r="438" spans="1:36" x14ac:dyDescent="0.35">
      <c r="A438">
        <v>33</v>
      </c>
      <c r="B438" t="s">
        <v>35</v>
      </c>
      <c r="C438" t="s">
        <v>36</v>
      </c>
      <c r="D438" s="2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s="2" t="str">
        <f t="shared" si="6"/>
        <v>Low</v>
      </c>
    </row>
    <row r="439" spans="1:36" x14ac:dyDescent="0.35">
      <c r="A439">
        <v>30</v>
      </c>
      <c r="B439" t="s">
        <v>43</v>
      </c>
      <c r="C439" t="s">
        <v>36</v>
      </c>
      <c r="D439" s="2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s="2" t="str">
        <f t="shared" si="6"/>
        <v>Low</v>
      </c>
    </row>
    <row r="440" spans="1:36" x14ac:dyDescent="0.35">
      <c r="A440">
        <v>35</v>
      </c>
      <c r="B440" t="s">
        <v>43</v>
      </c>
      <c r="C440" t="s">
        <v>36</v>
      </c>
      <c r="D440" s="2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s="2" t="str">
        <f t="shared" si="6"/>
        <v>Medium</v>
      </c>
    </row>
    <row r="441" spans="1:36" x14ac:dyDescent="0.35">
      <c r="A441">
        <v>31</v>
      </c>
      <c r="B441" t="s">
        <v>35</v>
      </c>
      <c r="C441" t="s">
        <v>44</v>
      </c>
      <c r="D441" s="2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s="2" t="str">
        <f t="shared" si="6"/>
        <v>Medium</v>
      </c>
    </row>
    <row r="442" spans="1:36" x14ac:dyDescent="0.35">
      <c r="A442">
        <v>34</v>
      </c>
      <c r="B442" t="s">
        <v>35</v>
      </c>
      <c r="C442" t="s">
        <v>44</v>
      </c>
      <c r="D442" s="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s="2" t="str">
        <f t="shared" si="6"/>
        <v>Medium</v>
      </c>
    </row>
    <row r="443" spans="1:36" x14ac:dyDescent="0.35">
      <c r="A443">
        <v>42</v>
      </c>
      <c r="B443" t="s">
        <v>43</v>
      </c>
      <c r="C443" t="s">
        <v>44</v>
      </c>
      <c r="D443" s="2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s="2" t="str">
        <f t="shared" si="6"/>
        <v>Low</v>
      </c>
    </row>
    <row r="444" spans="1:36" x14ac:dyDescent="0.35">
      <c r="A444">
        <v>36</v>
      </c>
      <c r="B444" t="s">
        <v>43</v>
      </c>
      <c r="C444" t="s">
        <v>55</v>
      </c>
      <c r="D444" s="2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s="2" t="str">
        <f t="shared" si="6"/>
        <v>Medium</v>
      </c>
    </row>
    <row r="445" spans="1:36" x14ac:dyDescent="0.35">
      <c r="A445">
        <v>22</v>
      </c>
      <c r="B445" t="s">
        <v>35</v>
      </c>
      <c r="C445" t="s">
        <v>44</v>
      </c>
      <c r="D445" s="2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s="2" t="str">
        <f t="shared" si="6"/>
        <v>Low</v>
      </c>
    </row>
    <row r="446" spans="1:36" x14ac:dyDescent="0.35">
      <c r="A446">
        <v>48</v>
      </c>
      <c r="B446" t="s">
        <v>43</v>
      </c>
      <c r="C446" t="s">
        <v>36</v>
      </c>
      <c r="D446" s="2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s="2" t="str">
        <f t="shared" si="6"/>
        <v>Low</v>
      </c>
    </row>
    <row r="447" spans="1:36" x14ac:dyDescent="0.35">
      <c r="A447">
        <v>55</v>
      </c>
      <c r="B447" t="s">
        <v>43</v>
      </c>
      <c r="C447" t="s">
        <v>36</v>
      </c>
      <c r="D447" s="2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s="2" t="str">
        <f t="shared" si="6"/>
        <v>High</v>
      </c>
    </row>
    <row r="448" spans="1:36" x14ac:dyDescent="0.35">
      <c r="A448">
        <v>41</v>
      </c>
      <c r="B448" t="s">
        <v>43</v>
      </c>
      <c r="C448" t="s">
        <v>55</v>
      </c>
      <c r="D448" s="2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s="2" t="str">
        <f t="shared" si="6"/>
        <v>Medium</v>
      </c>
    </row>
    <row r="449" spans="1:36" x14ac:dyDescent="0.35">
      <c r="A449">
        <v>35</v>
      </c>
      <c r="B449" t="s">
        <v>43</v>
      </c>
      <c r="C449" t="s">
        <v>36</v>
      </c>
      <c r="D449" s="2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s="2" t="str">
        <f t="shared" si="6"/>
        <v>Low</v>
      </c>
    </row>
    <row r="450" spans="1:36" x14ac:dyDescent="0.35">
      <c r="A450">
        <v>40</v>
      </c>
      <c r="B450" t="s">
        <v>43</v>
      </c>
      <c r="C450" t="s">
        <v>36</v>
      </c>
      <c r="D450" s="2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s="2" t="str">
        <f t="shared" ref="AJ450:AJ513" si="7">IF(S450&lt;5000,"Low",IF(S450&lt;10000,"Medium","High"))</f>
        <v>High</v>
      </c>
    </row>
    <row r="451" spans="1:36" x14ac:dyDescent="0.35">
      <c r="A451">
        <v>39</v>
      </c>
      <c r="B451" t="s">
        <v>43</v>
      </c>
      <c r="C451" t="s">
        <v>44</v>
      </c>
      <c r="D451" s="2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s="2" t="str">
        <f t="shared" si="7"/>
        <v>Low</v>
      </c>
    </row>
    <row r="452" spans="1:36" x14ac:dyDescent="0.35">
      <c r="A452">
        <v>31</v>
      </c>
      <c r="B452" t="s">
        <v>43</v>
      </c>
      <c r="C452" t="s">
        <v>36</v>
      </c>
      <c r="D452" s="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s="2" t="str">
        <f t="shared" si="7"/>
        <v>Medium</v>
      </c>
    </row>
    <row r="453" spans="1:36" x14ac:dyDescent="0.35">
      <c r="A453">
        <v>42</v>
      </c>
      <c r="B453" t="s">
        <v>43</v>
      </c>
      <c r="C453" t="s">
        <v>36</v>
      </c>
      <c r="D453" s="2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s="2" t="str">
        <f t="shared" si="7"/>
        <v>Medium</v>
      </c>
    </row>
    <row r="454" spans="1:36" x14ac:dyDescent="0.35">
      <c r="A454">
        <v>45</v>
      </c>
      <c r="B454" t="s">
        <v>43</v>
      </c>
      <c r="C454" t="s">
        <v>36</v>
      </c>
      <c r="D454" s="2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s="2" t="str">
        <f t="shared" si="7"/>
        <v>Low</v>
      </c>
    </row>
    <row r="455" spans="1:36" x14ac:dyDescent="0.35">
      <c r="A455">
        <v>26</v>
      </c>
      <c r="B455" t="s">
        <v>35</v>
      </c>
      <c r="C455" t="s">
        <v>44</v>
      </c>
      <c r="D455" s="2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s="2" t="str">
        <f t="shared" si="7"/>
        <v>Low</v>
      </c>
    </row>
    <row r="456" spans="1:36" x14ac:dyDescent="0.35">
      <c r="A456">
        <v>29</v>
      </c>
      <c r="B456" t="s">
        <v>43</v>
      </c>
      <c r="C456" t="s">
        <v>36</v>
      </c>
      <c r="D456" s="2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s="2" t="str">
        <f t="shared" si="7"/>
        <v>Low</v>
      </c>
    </row>
    <row r="457" spans="1:36" x14ac:dyDescent="0.35">
      <c r="A457">
        <v>33</v>
      </c>
      <c r="B457" t="s">
        <v>43</v>
      </c>
      <c r="C457" t="s">
        <v>36</v>
      </c>
      <c r="D457" s="2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s="2" t="str">
        <f t="shared" si="7"/>
        <v>High</v>
      </c>
    </row>
    <row r="458" spans="1:36" x14ac:dyDescent="0.35">
      <c r="A458">
        <v>31</v>
      </c>
      <c r="B458" t="s">
        <v>43</v>
      </c>
      <c r="C458" t="s">
        <v>36</v>
      </c>
      <c r="D458" s="2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s="2" t="str">
        <f t="shared" si="7"/>
        <v>High</v>
      </c>
    </row>
    <row r="459" spans="1:36" x14ac:dyDescent="0.35">
      <c r="A459">
        <v>18</v>
      </c>
      <c r="B459" t="s">
        <v>35</v>
      </c>
      <c r="C459" t="s">
        <v>44</v>
      </c>
      <c r="D459" s="2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s="2" t="str">
        <f t="shared" si="7"/>
        <v>Low</v>
      </c>
    </row>
    <row r="460" spans="1:36" x14ac:dyDescent="0.35">
      <c r="A460">
        <v>40</v>
      </c>
      <c r="B460" t="s">
        <v>43</v>
      </c>
      <c r="C460" t="s">
        <v>55</v>
      </c>
      <c r="D460" s="2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s="2" t="str">
        <f t="shared" si="7"/>
        <v>High</v>
      </c>
    </row>
    <row r="461" spans="1:36" x14ac:dyDescent="0.35">
      <c r="A461">
        <v>41</v>
      </c>
      <c r="B461" t="s">
        <v>43</v>
      </c>
      <c r="C461" t="s">
        <v>55</v>
      </c>
      <c r="D461" s="2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s="2" t="str">
        <f t="shared" si="7"/>
        <v>Medium</v>
      </c>
    </row>
    <row r="462" spans="1:36" x14ac:dyDescent="0.35">
      <c r="A462">
        <v>26</v>
      </c>
      <c r="B462" t="s">
        <v>43</v>
      </c>
      <c r="C462" t="s">
        <v>36</v>
      </c>
      <c r="D462" s="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s="2" t="str">
        <f t="shared" si="7"/>
        <v>Low</v>
      </c>
    </row>
    <row r="463" spans="1:36" x14ac:dyDescent="0.35">
      <c r="A463">
        <v>35</v>
      </c>
      <c r="B463" t="s">
        <v>43</v>
      </c>
      <c r="C463" t="s">
        <v>36</v>
      </c>
      <c r="D463" s="2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s="2" t="str">
        <f t="shared" si="7"/>
        <v>Low</v>
      </c>
    </row>
    <row r="464" spans="1:36" x14ac:dyDescent="0.35">
      <c r="A464">
        <v>34</v>
      </c>
      <c r="B464" t="s">
        <v>43</v>
      </c>
      <c r="C464" t="s">
        <v>36</v>
      </c>
      <c r="D464" s="2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s="2" t="str">
        <f t="shared" si="7"/>
        <v>Medium</v>
      </c>
    </row>
    <row r="465" spans="1:36" x14ac:dyDescent="0.35">
      <c r="A465">
        <v>26</v>
      </c>
      <c r="B465" t="s">
        <v>35</v>
      </c>
      <c r="C465" t="s">
        <v>36</v>
      </c>
      <c r="D465" s="2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s="2" t="str">
        <f t="shared" si="7"/>
        <v>Low</v>
      </c>
    </row>
    <row r="466" spans="1:36" x14ac:dyDescent="0.35">
      <c r="A466">
        <v>37</v>
      </c>
      <c r="B466" t="s">
        <v>43</v>
      </c>
      <c r="C466" t="s">
        <v>36</v>
      </c>
      <c r="D466" s="2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s="2" t="str">
        <f t="shared" si="7"/>
        <v>Medium</v>
      </c>
    </row>
    <row r="467" spans="1:36" x14ac:dyDescent="0.35">
      <c r="A467">
        <v>46</v>
      </c>
      <c r="B467" t="s">
        <v>43</v>
      </c>
      <c r="C467" t="s">
        <v>44</v>
      </c>
      <c r="D467" s="2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s="2" t="str">
        <f t="shared" si="7"/>
        <v>High</v>
      </c>
    </row>
    <row r="468" spans="1:36" x14ac:dyDescent="0.35">
      <c r="A468">
        <v>41</v>
      </c>
      <c r="B468" t="s">
        <v>43</v>
      </c>
      <c r="C468" t="s">
        <v>36</v>
      </c>
      <c r="D468" s="2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s="2" t="str">
        <f t="shared" si="7"/>
        <v>High</v>
      </c>
    </row>
    <row r="469" spans="1:36" x14ac:dyDescent="0.35">
      <c r="A469">
        <v>37</v>
      </c>
      <c r="B469" t="s">
        <v>43</v>
      </c>
      <c r="C469" t="s">
        <v>55</v>
      </c>
      <c r="D469" s="2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s="2" t="str">
        <f t="shared" si="7"/>
        <v>Medium</v>
      </c>
    </row>
    <row r="470" spans="1:36" x14ac:dyDescent="0.35">
      <c r="A470">
        <v>52</v>
      </c>
      <c r="B470" t="s">
        <v>43</v>
      </c>
      <c r="C470" t="s">
        <v>36</v>
      </c>
      <c r="D470" s="2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s="2" t="str">
        <f t="shared" si="7"/>
        <v>Medium</v>
      </c>
    </row>
    <row r="471" spans="1:36" x14ac:dyDescent="0.35">
      <c r="A471">
        <v>32</v>
      </c>
      <c r="B471" t="s">
        <v>35</v>
      </c>
      <c r="C471" t="s">
        <v>55</v>
      </c>
      <c r="D471" s="2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s="2" t="str">
        <f t="shared" si="7"/>
        <v>Low</v>
      </c>
    </row>
    <row r="472" spans="1:36" x14ac:dyDescent="0.35">
      <c r="A472">
        <v>24</v>
      </c>
      <c r="B472" t="s">
        <v>43</v>
      </c>
      <c r="C472" t="s">
        <v>44</v>
      </c>
      <c r="D472" s="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s="2" t="str">
        <f t="shared" si="7"/>
        <v>Low</v>
      </c>
    </row>
    <row r="473" spans="1:36" x14ac:dyDescent="0.35">
      <c r="A473">
        <v>38</v>
      </c>
      <c r="B473" t="s">
        <v>43</v>
      </c>
      <c r="C473" t="s">
        <v>36</v>
      </c>
      <c r="D473" s="2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s="2" t="str">
        <f t="shared" si="7"/>
        <v>Medium</v>
      </c>
    </row>
    <row r="474" spans="1:36" x14ac:dyDescent="0.35">
      <c r="A474">
        <v>37</v>
      </c>
      <c r="B474" t="s">
        <v>43</v>
      </c>
      <c r="C474" t="s">
        <v>36</v>
      </c>
      <c r="D474" s="2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s="2" t="str">
        <f t="shared" si="7"/>
        <v>Medium</v>
      </c>
    </row>
    <row r="475" spans="1:36" x14ac:dyDescent="0.35">
      <c r="A475">
        <v>49</v>
      </c>
      <c r="B475" t="s">
        <v>43</v>
      </c>
      <c r="C475" t="s">
        <v>36</v>
      </c>
      <c r="D475" s="2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s="2" t="str">
        <f t="shared" si="7"/>
        <v>High</v>
      </c>
    </row>
    <row r="476" spans="1:36" x14ac:dyDescent="0.35">
      <c r="A476">
        <v>24</v>
      </c>
      <c r="B476" t="s">
        <v>43</v>
      </c>
      <c r="C476" t="s">
        <v>36</v>
      </c>
      <c r="D476" s="2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s="2" t="str">
        <f t="shared" si="7"/>
        <v>Low</v>
      </c>
    </row>
    <row r="477" spans="1:36" x14ac:dyDescent="0.35">
      <c r="A477">
        <v>26</v>
      </c>
      <c r="B477" t="s">
        <v>43</v>
      </c>
      <c r="C477" t="s">
        <v>36</v>
      </c>
      <c r="D477" s="2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s="2" t="str">
        <f t="shared" si="7"/>
        <v>Medium</v>
      </c>
    </row>
    <row r="478" spans="1:36" x14ac:dyDescent="0.35">
      <c r="A478">
        <v>24</v>
      </c>
      <c r="B478" t="s">
        <v>43</v>
      </c>
      <c r="C478" t="s">
        <v>36</v>
      </c>
      <c r="D478" s="2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s="2" t="str">
        <f t="shared" si="7"/>
        <v>Low</v>
      </c>
    </row>
    <row r="479" spans="1:36" x14ac:dyDescent="0.35">
      <c r="A479">
        <v>50</v>
      </c>
      <c r="B479" t="s">
        <v>43</v>
      </c>
      <c r="C479" t="s">
        <v>44</v>
      </c>
      <c r="D479" s="2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s="2" t="str">
        <f t="shared" si="7"/>
        <v>High</v>
      </c>
    </row>
    <row r="480" spans="1:36" x14ac:dyDescent="0.35">
      <c r="A480">
        <v>25</v>
      </c>
      <c r="B480" t="s">
        <v>43</v>
      </c>
      <c r="C480" t="s">
        <v>36</v>
      </c>
      <c r="D480" s="2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s="2" t="str">
        <f t="shared" si="7"/>
        <v>Low</v>
      </c>
    </row>
    <row r="481" spans="1:36" x14ac:dyDescent="0.35">
      <c r="A481">
        <v>24</v>
      </c>
      <c r="B481" t="s">
        <v>35</v>
      </c>
      <c r="C481" t="s">
        <v>44</v>
      </c>
      <c r="D481" s="2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s="2" t="str">
        <f t="shared" si="7"/>
        <v>Low</v>
      </c>
    </row>
    <row r="482" spans="1:36" x14ac:dyDescent="0.35">
      <c r="A482">
        <v>30</v>
      </c>
      <c r="B482" t="s">
        <v>35</v>
      </c>
      <c r="C482" t="s">
        <v>44</v>
      </c>
      <c r="D482" s="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s="2" t="str">
        <f t="shared" si="7"/>
        <v>Low</v>
      </c>
    </row>
    <row r="483" spans="1:36" x14ac:dyDescent="0.35">
      <c r="A483">
        <v>34</v>
      </c>
      <c r="B483" t="s">
        <v>43</v>
      </c>
      <c r="C483" t="s">
        <v>36</v>
      </c>
      <c r="D483" s="2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s="2" t="str">
        <f t="shared" si="7"/>
        <v>Low</v>
      </c>
    </row>
    <row r="484" spans="1:36" x14ac:dyDescent="0.35">
      <c r="A484">
        <v>31</v>
      </c>
      <c r="B484" t="s">
        <v>35</v>
      </c>
      <c r="C484" t="s">
        <v>36</v>
      </c>
      <c r="D484" s="2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s="2" t="str">
        <f t="shared" si="7"/>
        <v>Low</v>
      </c>
    </row>
    <row r="485" spans="1:36" x14ac:dyDescent="0.35">
      <c r="A485">
        <v>35</v>
      </c>
      <c r="B485" t="s">
        <v>43</v>
      </c>
      <c r="C485" t="s">
        <v>36</v>
      </c>
      <c r="D485" s="2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s="2" t="str">
        <f t="shared" si="7"/>
        <v>Low</v>
      </c>
    </row>
    <row r="486" spans="1:36" x14ac:dyDescent="0.35">
      <c r="A486">
        <v>31</v>
      </c>
      <c r="B486" t="s">
        <v>43</v>
      </c>
      <c r="C486" t="s">
        <v>36</v>
      </c>
      <c r="D486" s="2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s="2" t="str">
        <f t="shared" si="7"/>
        <v>Medium</v>
      </c>
    </row>
    <row r="487" spans="1:36" x14ac:dyDescent="0.35">
      <c r="A487">
        <v>27</v>
      </c>
      <c r="B487" t="s">
        <v>43</v>
      </c>
      <c r="C487" t="s">
        <v>36</v>
      </c>
      <c r="D487" s="2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s="2" t="str">
        <f t="shared" si="7"/>
        <v>Low</v>
      </c>
    </row>
    <row r="488" spans="1:36" x14ac:dyDescent="0.35">
      <c r="A488">
        <v>37</v>
      </c>
      <c r="B488" t="s">
        <v>43</v>
      </c>
      <c r="C488" t="s">
        <v>36</v>
      </c>
      <c r="D488" s="2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s="2" t="str">
        <f t="shared" si="7"/>
        <v>Medium</v>
      </c>
    </row>
    <row r="489" spans="1:36" x14ac:dyDescent="0.35">
      <c r="A489">
        <v>20</v>
      </c>
      <c r="B489" t="s">
        <v>43</v>
      </c>
      <c r="C489" t="s">
        <v>36</v>
      </c>
      <c r="D489" s="2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s="2" t="str">
        <f t="shared" si="7"/>
        <v>Low</v>
      </c>
    </row>
    <row r="490" spans="1:36" x14ac:dyDescent="0.35">
      <c r="A490">
        <v>42</v>
      </c>
      <c r="B490" t="s">
        <v>43</v>
      </c>
      <c r="C490" t="s">
        <v>36</v>
      </c>
      <c r="D490" s="2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s="2" t="str">
        <f t="shared" si="7"/>
        <v>Low</v>
      </c>
    </row>
    <row r="491" spans="1:36" x14ac:dyDescent="0.35">
      <c r="A491">
        <v>43</v>
      </c>
      <c r="B491" t="s">
        <v>43</v>
      </c>
      <c r="C491" t="s">
        <v>36</v>
      </c>
      <c r="D491" s="2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s="2" t="str">
        <f t="shared" si="7"/>
        <v>High</v>
      </c>
    </row>
    <row r="492" spans="1:36" x14ac:dyDescent="0.35">
      <c r="A492">
        <v>38</v>
      </c>
      <c r="B492" t="s">
        <v>43</v>
      </c>
      <c r="C492" t="s">
        <v>36</v>
      </c>
      <c r="D492" s="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s="2" t="str">
        <f t="shared" si="7"/>
        <v>Low</v>
      </c>
    </row>
    <row r="493" spans="1:36" x14ac:dyDescent="0.35">
      <c r="A493">
        <v>43</v>
      </c>
      <c r="B493" t="s">
        <v>43</v>
      </c>
      <c r="C493" t="s">
        <v>44</v>
      </c>
      <c r="D493" s="2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s="2" t="str">
        <f t="shared" si="7"/>
        <v>Medium</v>
      </c>
    </row>
    <row r="494" spans="1:36" x14ac:dyDescent="0.35">
      <c r="A494">
        <v>48</v>
      </c>
      <c r="B494" t="s">
        <v>43</v>
      </c>
      <c r="C494" t="s">
        <v>36</v>
      </c>
      <c r="D494" s="2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s="2" t="str">
        <f t="shared" si="7"/>
        <v>High</v>
      </c>
    </row>
    <row r="495" spans="1:36" x14ac:dyDescent="0.35">
      <c r="A495">
        <v>44</v>
      </c>
      <c r="B495" t="s">
        <v>43</v>
      </c>
      <c r="C495" t="s">
        <v>36</v>
      </c>
      <c r="D495" s="2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s="2" t="str">
        <f t="shared" si="7"/>
        <v>Medium</v>
      </c>
    </row>
    <row r="496" spans="1:36" x14ac:dyDescent="0.35">
      <c r="A496">
        <v>34</v>
      </c>
      <c r="B496" t="s">
        <v>43</v>
      </c>
      <c r="C496" t="s">
        <v>36</v>
      </c>
      <c r="D496" s="2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s="2" t="str">
        <f t="shared" si="7"/>
        <v>Low</v>
      </c>
    </row>
    <row r="497" spans="1:36" x14ac:dyDescent="0.35">
      <c r="A497">
        <v>27</v>
      </c>
      <c r="B497" t="s">
        <v>35</v>
      </c>
      <c r="C497" t="s">
        <v>36</v>
      </c>
      <c r="D497" s="2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s="2" t="str">
        <f t="shared" si="7"/>
        <v>Low</v>
      </c>
    </row>
    <row r="498" spans="1:36" x14ac:dyDescent="0.35">
      <c r="A498">
        <v>21</v>
      </c>
      <c r="B498" t="s">
        <v>43</v>
      </c>
      <c r="C498" t="s">
        <v>36</v>
      </c>
      <c r="D498" s="2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s="2" t="str">
        <f t="shared" si="7"/>
        <v>Low</v>
      </c>
    </row>
    <row r="499" spans="1:36" x14ac:dyDescent="0.35">
      <c r="A499">
        <v>44</v>
      </c>
      <c r="B499" t="s">
        <v>43</v>
      </c>
      <c r="C499" t="s">
        <v>36</v>
      </c>
      <c r="D499" s="2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s="2" t="str">
        <f t="shared" si="7"/>
        <v>High</v>
      </c>
    </row>
    <row r="500" spans="1:36" x14ac:dyDescent="0.35">
      <c r="A500">
        <v>22</v>
      </c>
      <c r="B500" t="s">
        <v>43</v>
      </c>
      <c r="C500" t="s">
        <v>36</v>
      </c>
      <c r="D500" s="2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s="2" t="str">
        <f t="shared" si="7"/>
        <v>Low</v>
      </c>
    </row>
    <row r="501" spans="1:36" x14ac:dyDescent="0.35">
      <c r="A501">
        <v>33</v>
      </c>
      <c r="B501" t="s">
        <v>43</v>
      </c>
      <c r="C501" t="s">
        <v>36</v>
      </c>
      <c r="D501" s="2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s="2" t="str">
        <f t="shared" si="7"/>
        <v>Medium</v>
      </c>
    </row>
    <row r="502" spans="1:36" x14ac:dyDescent="0.35">
      <c r="A502">
        <v>32</v>
      </c>
      <c r="B502" t="s">
        <v>43</v>
      </c>
      <c r="C502" t="s">
        <v>36</v>
      </c>
      <c r="D502" s="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s="2" t="str">
        <f t="shared" si="7"/>
        <v>Medium</v>
      </c>
    </row>
    <row r="503" spans="1:36" x14ac:dyDescent="0.35">
      <c r="A503">
        <v>30</v>
      </c>
      <c r="B503" t="s">
        <v>43</v>
      </c>
      <c r="C503" t="s">
        <v>44</v>
      </c>
      <c r="D503" s="2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s="2" t="str">
        <f t="shared" si="7"/>
        <v>Low</v>
      </c>
    </row>
    <row r="504" spans="1:36" x14ac:dyDescent="0.35">
      <c r="A504">
        <v>53</v>
      </c>
      <c r="B504" t="s">
        <v>43</v>
      </c>
      <c r="C504" t="s">
        <v>36</v>
      </c>
      <c r="D504" s="2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s="2" t="str">
        <f t="shared" si="7"/>
        <v>Medium</v>
      </c>
    </row>
    <row r="505" spans="1:36" x14ac:dyDescent="0.35">
      <c r="A505">
        <v>34</v>
      </c>
      <c r="B505" t="s">
        <v>43</v>
      </c>
      <c r="C505" t="s">
        <v>36</v>
      </c>
      <c r="D505" s="2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s="2" t="str">
        <f t="shared" si="7"/>
        <v>Low</v>
      </c>
    </row>
    <row r="506" spans="1:36" x14ac:dyDescent="0.35">
      <c r="A506">
        <v>45</v>
      </c>
      <c r="B506" t="s">
        <v>35</v>
      </c>
      <c r="C506" t="s">
        <v>44</v>
      </c>
      <c r="D506" s="2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s="2" t="str">
        <f t="shared" si="7"/>
        <v>Low</v>
      </c>
    </row>
    <row r="507" spans="1:36" x14ac:dyDescent="0.35">
      <c r="A507">
        <v>26</v>
      </c>
      <c r="B507" t="s">
        <v>43</v>
      </c>
      <c r="C507" t="s">
        <v>36</v>
      </c>
      <c r="D507" s="2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s="2" t="str">
        <f t="shared" si="7"/>
        <v>Low</v>
      </c>
    </row>
    <row r="508" spans="1:36" x14ac:dyDescent="0.35">
      <c r="A508">
        <v>37</v>
      </c>
      <c r="B508" t="s">
        <v>43</v>
      </c>
      <c r="C508" t="s">
        <v>36</v>
      </c>
      <c r="D508" s="2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s="2" t="str">
        <f t="shared" si="7"/>
        <v>Medium</v>
      </c>
    </row>
    <row r="509" spans="1:36" x14ac:dyDescent="0.35">
      <c r="A509">
        <v>29</v>
      </c>
      <c r="B509" t="s">
        <v>43</v>
      </c>
      <c r="C509" t="s">
        <v>36</v>
      </c>
      <c r="D509" s="2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s="2" t="str">
        <f t="shared" si="7"/>
        <v>Medium</v>
      </c>
    </row>
    <row r="510" spans="1:36" x14ac:dyDescent="0.35">
      <c r="A510">
        <v>35</v>
      </c>
      <c r="B510" t="s">
        <v>43</v>
      </c>
      <c r="C510" t="s">
        <v>36</v>
      </c>
      <c r="D510" s="2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s="2" t="str">
        <f t="shared" si="7"/>
        <v>Medium</v>
      </c>
    </row>
    <row r="511" spans="1:36" x14ac:dyDescent="0.35">
      <c r="A511">
        <v>33</v>
      </c>
      <c r="B511" t="s">
        <v>43</v>
      </c>
      <c r="C511" t="s">
        <v>44</v>
      </c>
      <c r="D511" s="2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s="2" t="str">
        <f t="shared" si="7"/>
        <v>Medium</v>
      </c>
    </row>
    <row r="512" spans="1:36" x14ac:dyDescent="0.35">
      <c r="A512">
        <v>54</v>
      </c>
      <c r="B512" t="s">
        <v>43</v>
      </c>
      <c r="C512" t="s">
        <v>36</v>
      </c>
      <c r="D512" s="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s="2" t="str">
        <f t="shared" si="7"/>
        <v>High</v>
      </c>
    </row>
    <row r="513" spans="1:36" x14ac:dyDescent="0.35">
      <c r="A513">
        <v>36</v>
      </c>
      <c r="B513" t="s">
        <v>43</v>
      </c>
      <c r="C513" t="s">
        <v>36</v>
      </c>
      <c r="D513" s="2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s="2" t="str">
        <f t="shared" si="7"/>
        <v>Medium</v>
      </c>
    </row>
    <row r="514" spans="1:36" x14ac:dyDescent="0.35">
      <c r="A514">
        <v>27</v>
      </c>
      <c r="B514" t="s">
        <v>43</v>
      </c>
      <c r="C514" t="s">
        <v>36</v>
      </c>
      <c r="D514" s="2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s="2" t="str">
        <f t="shared" ref="AJ514:AJ577" si="8">IF(S514&lt;5000,"Low",IF(S514&lt;10000,"Medium","High"))</f>
        <v>Low</v>
      </c>
    </row>
    <row r="515" spans="1:36" x14ac:dyDescent="0.35">
      <c r="A515">
        <v>20</v>
      </c>
      <c r="B515" t="s">
        <v>35</v>
      </c>
      <c r="C515" t="s">
        <v>36</v>
      </c>
      <c r="D515" s="2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s="2" t="str">
        <f t="shared" si="8"/>
        <v>Low</v>
      </c>
    </row>
    <row r="516" spans="1:36" x14ac:dyDescent="0.35">
      <c r="A516">
        <v>33</v>
      </c>
      <c r="B516" t="s">
        <v>35</v>
      </c>
      <c r="C516" t="s">
        <v>44</v>
      </c>
      <c r="D516" s="2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s="2" t="str">
        <f t="shared" si="8"/>
        <v>Low</v>
      </c>
    </row>
    <row r="517" spans="1:36" x14ac:dyDescent="0.35">
      <c r="A517">
        <v>35</v>
      </c>
      <c r="B517" t="s">
        <v>43</v>
      </c>
      <c r="C517" t="s">
        <v>55</v>
      </c>
      <c r="D517" s="2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s="2" t="str">
        <f t="shared" si="8"/>
        <v>Low</v>
      </c>
    </row>
    <row r="518" spans="1:36" x14ac:dyDescent="0.35">
      <c r="A518">
        <v>23</v>
      </c>
      <c r="B518" t="s">
        <v>43</v>
      </c>
      <c r="C518" t="s">
        <v>36</v>
      </c>
      <c r="D518" s="2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s="2" t="str">
        <f t="shared" si="8"/>
        <v>Low</v>
      </c>
    </row>
    <row r="519" spans="1:36" x14ac:dyDescent="0.35">
      <c r="A519">
        <v>25</v>
      </c>
      <c r="B519" t="s">
        <v>43</v>
      </c>
      <c r="C519" t="s">
        <v>36</v>
      </c>
      <c r="D519" s="2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s="2" t="str">
        <f t="shared" si="8"/>
        <v>Low</v>
      </c>
    </row>
    <row r="520" spans="1:36" x14ac:dyDescent="0.35">
      <c r="A520">
        <v>38</v>
      </c>
      <c r="B520" t="s">
        <v>43</v>
      </c>
      <c r="C520" t="s">
        <v>36</v>
      </c>
      <c r="D520" s="2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s="2" t="str">
        <f t="shared" si="8"/>
        <v>Low</v>
      </c>
    </row>
    <row r="521" spans="1:36" x14ac:dyDescent="0.35">
      <c r="A521">
        <v>29</v>
      </c>
      <c r="B521" t="s">
        <v>43</v>
      </c>
      <c r="C521" t="s">
        <v>44</v>
      </c>
      <c r="D521" s="2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s="2" t="str">
        <f t="shared" si="8"/>
        <v>Low</v>
      </c>
    </row>
    <row r="522" spans="1:36" x14ac:dyDescent="0.35">
      <c r="A522">
        <v>48</v>
      </c>
      <c r="B522" t="s">
        <v>43</v>
      </c>
      <c r="C522" t="s">
        <v>36</v>
      </c>
      <c r="D522" s="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s="2" t="str">
        <f t="shared" si="8"/>
        <v>Medium</v>
      </c>
    </row>
    <row r="523" spans="1:36" x14ac:dyDescent="0.35">
      <c r="A523">
        <v>27</v>
      </c>
      <c r="B523" t="s">
        <v>43</v>
      </c>
      <c r="C523" t="s">
        <v>44</v>
      </c>
      <c r="D523" s="2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s="2" t="str">
        <f t="shared" si="8"/>
        <v>Low</v>
      </c>
    </row>
    <row r="524" spans="1:36" x14ac:dyDescent="0.35">
      <c r="A524">
        <v>37</v>
      </c>
      <c r="B524" t="s">
        <v>43</v>
      </c>
      <c r="C524" t="s">
        <v>36</v>
      </c>
      <c r="D524" s="2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s="2" t="str">
        <f t="shared" si="8"/>
        <v>Low</v>
      </c>
    </row>
    <row r="525" spans="1:36" x14ac:dyDescent="0.35">
      <c r="A525">
        <v>50</v>
      </c>
      <c r="B525" t="s">
        <v>43</v>
      </c>
      <c r="C525" t="s">
        <v>36</v>
      </c>
      <c r="D525" s="2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s="2" t="str">
        <f t="shared" si="8"/>
        <v>Low</v>
      </c>
    </row>
    <row r="526" spans="1:36" x14ac:dyDescent="0.35">
      <c r="A526">
        <v>34</v>
      </c>
      <c r="B526" t="s">
        <v>43</v>
      </c>
      <c r="C526" t="s">
        <v>36</v>
      </c>
      <c r="D526" s="2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s="2" t="str">
        <f t="shared" si="8"/>
        <v>Medium</v>
      </c>
    </row>
    <row r="527" spans="1:36" x14ac:dyDescent="0.35">
      <c r="A527">
        <v>24</v>
      </c>
      <c r="B527" t="s">
        <v>35</v>
      </c>
      <c r="C527" t="s">
        <v>36</v>
      </c>
      <c r="D527" s="2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s="2" t="str">
        <f t="shared" si="8"/>
        <v>Low</v>
      </c>
    </row>
    <row r="528" spans="1:36" x14ac:dyDescent="0.35">
      <c r="A528">
        <v>39</v>
      </c>
      <c r="B528" t="s">
        <v>43</v>
      </c>
      <c r="C528" t="s">
        <v>36</v>
      </c>
      <c r="D528" s="2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s="2" t="str">
        <f t="shared" si="8"/>
        <v>Low</v>
      </c>
    </row>
    <row r="529" spans="1:36" x14ac:dyDescent="0.35">
      <c r="A529">
        <v>32</v>
      </c>
      <c r="B529" t="s">
        <v>43</v>
      </c>
      <c r="C529" t="s">
        <v>36</v>
      </c>
      <c r="D529" s="2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s="2" t="str">
        <f t="shared" si="8"/>
        <v>Medium</v>
      </c>
    </row>
    <row r="530" spans="1:36" x14ac:dyDescent="0.35">
      <c r="A530">
        <v>50</v>
      </c>
      <c r="B530" t="s">
        <v>35</v>
      </c>
      <c r="C530" t="s">
        <v>44</v>
      </c>
      <c r="D530" s="2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s="2" t="str">
        <f t="shared" si="8"/>
        <v>Medium</v>
      </c>
    </row>
    <row r="531" spans="1:36" x14ac:dyDescent="0.35">
      <c r="A531">
        <v>38</v>
      </c>
      <c r="B531" t="s">
        <v>43</v>
      </c>
      <c r="C531" t="s">
        <v>36</v>
      </c>
      <c r="D531" s="2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s="2" t="str">
        <f t="shared" si="8"/>
        <v>Medium</v>
      </c>
    </row>
    <row r="532" spans="1:36" x14ac:dyDescent="0.35">
      <c r="A532">
        <v>27</v>
      </c>
      <c r="B532" t="s">
        <v>43</v>
      </c>
      <c r="C532" t="s">
        <v>36</v>
      </c>
      <c r="D532" s="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s="2" t="str">
        <f t="shared" si="8"/>
        <v>Medium</v>
      </c>
    </row>
    <row r="533" spans="1:36" x14ac:dyDescent="0.35">
      <c r="A533">
        <v>32</v>
      </c>
      <c r="B533" t="s">
        <v>43</v>
      </c>
      <c r="C533" t="s">
        <v>36</v>
      </c>
      <c r="D533" s="2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s="2" t="str">
        <f t="shared" si="8"/>
        <v>High</v>
      </c>
    </row>
    <row r="534" spans="1:36" x14ac:dyDescent="0.35">
      <c r="A534">
        <v>47</v>
      </c>
      <c r="B534" t="s">
        <v>43</v>
      </c>
      <c r="C534" t="s">
        <v>36</v>
      </c>
      <c r="D534" s="2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s="2" t="str">
        <f t="shared" si="8"/>
        <v>Low</v>
      </c>
    </row>
    <row r="535" spans="1:36" x14ac:dyDescent="0.35">
      <c r="A535">
        <v>40</v>
      </c>
      <c r="B535" t="s">
        <v>43</v>
      </c>
      <c r="C535" t="s">
        <v>44</v>
      </c>
      <c r="D535" s="2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s="2" t="str">
        <f t="shared" si="8"/>
        <v>High</v>
      </c>
    </row>
    <row r="536" spans="1:36" x14ac:dyDescent="0.35">
      <c r="A536">
        <v>53</v>
      </c>
      <c r="B536" t="s">
        <v>43</v>
      </c>
      <c r="C536" t="s">
        <v>36</v>
      </c>
      <c r="D536" s="2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s="2" t="str">
        <f t="shared" si="8"/>
        <v>High</v>
      </c>
    </row>
    <row r="537" spans="1:36" x14ac:dyDescent="0.35">
      <c r="A537">
        <v>41</v>
      </c>
      <c r="B537" t="s">
        <v>43</v>
      </c>
      <c r="C537" t="s">
        <v>36</v>
      </c>
      <c r="D537" s="2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s="2" t="str">
        <f t="shared" si="8"/>
        <v>High</v>
      </c>
    </row>
    <row r="538" spans="1:36" x14ac:dyDescent="0.35">
      <c r="A538">
        <v>60</v>
      </c>
      <c r="B538" t="s">
        <v>43</v>
      </c>
      <c r="C538" t="s">
        <v>36</v>
      </c>
      <c r="D538" s="2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s="2" t="str">
        <f t="shared" si="8"/>
        <v>Medium</v>
      </c>
    </row>
    <row r="539" spans="1:36" x14ac:dyDescent="0.35">
      <c r="A539">
        <v>27</v>
      </c>
      <c r="B539" t="s">
        <v>43</v>
      </c>
      <c r="C539" t="s">
        <v>44</v>
      </c>
      <c r="D539" s="2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s="2" t="str">
        <f t="shared" si="8"/>
        <v>Medium</v>
      </c>
    </row>
    <row r="540" spans="1:36" x14ac:dyDescent="0.35">
      <c r="A540">
        <v>41</v>
      </c>
      <c r="B540" t="s">
        <v>43</v>
      </c>
      <c r="C540" t="s">
        <v>36</v>
      </c>
      <c r="D540" s="2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s="2" t="str">
        <f t="shared" si="8"/>
        <v>High</v>
      </c>
    </row>
    <row r="541" spans="1:36" x14ac:dyDescent="0.35">
      <c r="A541">
        <v>50</v>
      </c>
      <c r="B541" t="s">
        <v>43</v>
      </c>
      <c r="C541" t="s">
        <v>36</v>
      </c>
      <c r="D541" s="2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s="2" t="str">
        <f t="shared" si="8"/>
        <v>Low</v>
      </c>
    </row>
    <row r="542" spans="1:36" x14ac:dyDescent="0.35">
      <c r="A542">
        <v>28</v>
      </c>
      <c r="B542" t="s">
        <v>35</v>
      </c>
      <c r="C542" t="s">
        <v>36</v>
      </c>
      <c r="D542" s="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s="2" t="str">
        <f t="shared" si="8"/>
        <v>Low</v>
      </c>
    </row>
    <row r="543" spans="1:36" x14ac:dyDescent="0.35">
      <c r="A543">
        <v>36</v>
      </c>
      <c r="B543" t="s">
        <v>43</v>
      </c>
      <c r="C543" t="s">
        <v>55</v>
      </c>
      <c r="D543" s="2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s="2" t="str">
        <f t="shared" si="8"/>
        <v>High</v>
      </c>
    </row>
    <row r="544" spans="1:36" x14ac:dyDescent="0.35">
      <c r="A544">
        <v>38</v>
      </c>
      <c r="B544" t="s">
        <v>43</v>
      </c>
      <c r="C544" t="s">
        <v>36</v>
      </c>
      <c r="D544" s="2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s="2" t="str">
        <f t="shared" si="8"/>
        <v>Medium</v>
      </c>
    </row>
    <row r="545" spans="1:36" x14ac:dyDescent="0.35">
      <c r="A545">
        <v>44</v>
      </c>
      <c r="B545" t="s">
        <v>43</v>
      </c>
      <c r="C545" t="s">
        <v>55</v>
      </c>
      <c r="D545" s="2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s="2" t="str">
        <f t="shared" si="8"/>
        <v>Low</v>
      </c>
    </row>
    <row r="546" spans="1:36" x14ac:dyDescent="0.35">
      <c r="A546">
        <v>47</v>
      </c>
      <c r="B546" t="s">
        <v>43</v>
      </c>
      <c r="C546" t="s">
        <v>44</v>
      </c>
      <c r="D546" s="2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s="2" t="str">
        <f t="shared" si="8"/>
        <v>High</v>
      </c>
    </row>
    <row r="547" spans="1:36" x14ac:dyDescent="0.35">
      <c r="A547">
        <v>30</v>
      </c>
      <c r="B547" t="s">
        <v>43</v>
      </c>
      <c r="C547" t="s">
        <v>36</v>
      </c>
      <c r="D547" s="2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s="2" t="str">
        <f t="shared" si="8"/>
        <v>Medium</v>
      </c>
    </row>
    <row r="548" spans="1:36" x14ac:dyDescent="0.35">
      <c r="A548">
        <v>29</v>
      </c>
      <c r="B548" t="s">
        <v>43</v>
      </c>
      <c r="C548" t="s">
        <v>36</v>
      </c>
      <c r="D548" s="2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s="2" t="str">
        <f t="shared" si="8"/>
        <v>Low</v>
      </c>
    </row>
    <row r="549" spans="1:36" x14ac:dyDescent="0.35">
      <c r="A549">
        <v>42</v>
      </c>
      <c r="B549" t="s">
        <v>35</v>
      </c>
      <c r="C549" t="s">
        <v>44</v>
      </c>
      <c r="D549" s="2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s="2" t="str">
        <f t="shared" si="8"/>
        <v>Low</v>
      </c>
    </row>
    <row r="550" spans="1:36" x14ac:dyDescent="0.35">
      <c r="A550">
        <v>43</v>
      </c>
      <c r="B550" t="s">
        <v>43</v>
      </c>
      <c r="C550" t="s">
        <v>44</v>
      </c>
      <c r="D550" s="2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s="2" t="str">
        <f t="shared" si="8"/>
        <v>Medium</v>
      </c>
    </row>
    <row r="551" spans="1:36" x14ac:dyDescent="0.35">
      <c r="A551">
        <v>34</v>
      </c>
      <c r="B551" t="s">
        <v>43</v>
      </c>
      <c r="C551" t="s">
        <v>36</v>
      </c>
      <c r="D551" s="2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s="2" t="str">
        <f t="shared" si="8"/>
        <v>Medium</v>
      </c>
    </row>
    <row r="552" spans="1:36" x14ac:dyDescent="0.35">
      <c r="A552">
        <v>23</v>
      </c>
      <c r="B552" t="s">
        <v>43</v>
      </c>
      <c r="C552" t="s">
        <v>36</v>
      </c>
      <c r="D552" s="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s="2" t="str">
        <f t="shared" si="8"/>
        <v>Low</v>
      </c>
    </row>
    <row r="553" spans="1:36" x14ac:dyDescent="0.35">
      <c r="A553">
        <v>39</v>
      </c>
      <c r="B553" t="s">
        <v>43</v>
      </c>
      <c r="C553" t="s">
        <v>36</v>
      </c>
      <c r="D553" s="2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s="2" t="str">
        <f t="shared" si="8"/>
        <v>Medium</v>
      </c>
    </row>
    <row r="554" spans="1:36" x14ac:dyDescent="0.35">
      <c r="A554">
        <v>56</v>
      </c>
      <c r="B554" t="s">
        <v>43</v>
      </c>
      <c r="C554" t="s">
        <v>36</v>
      </c>
      <c r="D554" s="2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s="2" t="str">
        <f t="shared" si="8"/>
        <v>High</v>
      </c>
    </row>
    <row r="555" spans="1:36" x14ac:dyDescent="0.35">
      <c r="A555">
        <v>40</v>
      </c>
      <c r="B555" t="s">
        <v>43</v>
      </c>
      <c r="C555" t="s">
        <v>36</v>
      </c>
      <c r="D555" s="2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s="2" t="str">
        <f t="shared" si="8"/>
        <v>Low</v>
      </c>
    </row>
    <row r="556" spans="1:36" x14ac:dyDescent="0.35">
      <c r="A556">
        <v>27</v>
      </c>
      <c r="B556" t="s">
        <v>43</v>
      </c>
      <c r="C556" t="s">
        <v>36</v>
      </c>
      <c r="D556" s="2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s="2" t="str">
        <f t="shared" si="8"/>
        <v>Medium</v>
      </c>
    </row>
    <row r="557" spans="1:36" x14ac:dyDescent="0.35">
      <c r="A557">
        <v>29</v>
      </c>
      <c r="B557" t="s">
        <v>43</v>
      </c>
      <c r="C557" t="s">
        <v>36</v>
      </c>
      <c r="D557" s="2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s="2" t="str">
        <f t="shared" si="8"/>
        <v>Low</v>
      </c>
    </row>
    <row r="558" spans="1:36" x14ac:dyDescent="0.35">
      <c r="A558">
        <v>53</v>
      </c>
      <c r="B558" t="s">
        <v>43</v>
      </c>
      <c r="C558" t="s">
        <v>36</v>
      </c>
      <c r="D558" s="2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s="2" t="str">
        <f t="shared" si="8"/>
        <v>Low</v>
      </c>
    </row>
    <row r="559" spans="1:36" x14ac:dyDescent="0.35">
      <c r="A559">
        <v>35</v>
      </c>
      <c r="B559" t="s">
        <v>43</v>
      </c>
      <c r="C559" t="s">
        <v>55</v>
      </c>
      <c r="D559" s="2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s="2" t="str">
        <f t="shared" si="8"/>
        <v>Medium</v>
      </c>
    </row>
    <row r="560" spans="1:36" x14ac:dyDescent="0.35">
      <c r="A560">
        <v>32</v>
      </c>
      <c r="B560" t="s">
        <v>43</v>
      </c>
      <c r="C560" t="s">
        <v>44</v>
      </c>
      <c r="D560" s="2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s="2" t="str">
        <f t="shared" si="8"/>
        <v>Medium</v>
      </c>
    </row>
    <row r="561" spans="1:36" x14ac:dyDescent="0.35">
      <c r="A561">
        <v>38</v>
      </c>
      <c r="B561" t="s">
        <v>43</v>
      </c>
      <c r="C561" t="s">
        <v>36</v>
      </c>
      <c r="D561" s="2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s="2" t="str">
        <f t="shared" si="8"/>
        <v>Low</v>
      </c>
    </row>
    <row r="562" spans="1:36" x14ac:dyDescent="0.35">
      <c r="A562">
        <v>34</v>
      </c>
      <c r="B562" t="s">
        <v>43</v>
      </c>
      <c r="C562" t="s">
        <v>36</v>
      </c>
      <c r="D562" s="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s="2" t="str">
        <f t="shared" si="8"/>
        <v>Medium</v>
      </c>
    </row>
    <row r="563" spans="1:36" x14ac:dyDescent="0.35">
      <c r="A563">
        <v>52</v>
      </c>
      <c r="B563" t="s">
        <v>43</v>
      </c>
      <c r="C563" t="s">
        <v>36</v>
      </c>
      <c r="D563" s="2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s="2" t="str">
        <f t="shared" si="8"/>
        <v>High</v>
      </c>
    </row>
    <row r="564" spans="1:36" x14ac:dyDescent="0.35">
      <c r="A564">
        <v>33</v>
      </c>
      <c r="B564" t="s">
        <v>35</v>
      </c>
      <c r="C564" t="s">
        <v>36</v>
      </c>
      <c r="D564" s="2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s="2" t="str">
        <f t="shared" si="8"/>
        <v>Low</v>
      </c>
    </row>
    <row r="565" spans="1:36" x14ac:dyDescent="0.35">
      <c r="A565">
        <v>25</v>
      </c>
      <c r="B565" t="s">
        <v>43</v>
      </c>
      <c r="C565" t="s">
        <v>36</v>
      </c>
      <c r="D565" s="2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s="2" t="str">
        <f t="shared" si="8"/>
        <v>Medium</v>
      </c>
    </row>
    <row r="566" spans="1:36" x14ac:dyDescent="0.35">
      <c r="A566">
        <v>45</v>
      </c>
      <c r="B566" t="s">
        <v>43</v>
      </c>
      <c r="C566" t="s">
        <v>36</v>
      </c>
      <c r="D566" s="2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s="2" t="str">
        <f t="shared" si="8"/>
        <v>Medium</v>
      </c>
    </row>
    <row r="567" spans="1:36" x14ac:dyDescent="0.35">
      <c r="A567">
        <v>23</v>
      </c>
      <c r="B567" t="s">
        <v>43</v>
      </c>
      <c r="C567" t="s">
        <v>36</v>
      </c>
      <c r="D567" s="2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s="2" t="str">
        <f t="shared" si="8"/>
        <v>Low</v>
      </c>
    </row>
    <row r="568" spans="1:36" x14ac:dyDescent="0.35">
      <c r="A568">
        <v>47</v>
      </c>
      <c r="B568" t="s">
        <v>35</v>
      </c>
      <c r="C568" t="s">
        <v>44</v>
      </c>
      <c r="D568" s="2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s="2" t="str">
        <f t="shared" si="8"/>
        <v>Medium</v>
      </c>
    </row>
    <row r="569" spans="1:36" x14ac:dyDescent="0.35">
      <c r="A569">
        <v>34</v>
      </c>
      <c r="B569" t="s">
        <v>43</v>
      </c>
      <c r="C569" t="s">
        <v>36</v>
      </c>
      <c r="D569" s="2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s="2" t="str">
        <f t="shared" si="8"/>
        <v>Medium</v>
      </c>
    </row>
    <row r="570" spans="1:36" x14ac:dyDescent="0.35">
      <c r="A570">
        <v>55</v>
      </c>
      <c r="B570" t="s">
        <v>35</v>
      </c>
      <c r="C570" t="s">
        <v>36</v>
      </c>
      <c r="D570" s="2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s="2" t="str">
        <f t="shared" si="8"/>
        <v>High</v>
      </c>
    </row>
    <row r="571" spans="1:36" x14ac:dyDescent="0.35">
      <c r="A571">
        <v>36</v>
      </c>
      <c r="B571" t="s">
        <v>43</v>
      </c>
      <c r="C571" t="s">
        <v>55</v>
      </c>
      <c r="D571" s="2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s="2" t="str">
        <f t="shared" si="8"/>
        <v>Medium</v>
      </c>
    </row>
    <row r="572" spans="1:36" x14ac:dyDescent="0.35">
      <c r="A572">
        <v>52</v>
      </c>
      <c r="B572" t="s">
        <v>43</v>
      </c>
      <c r="C572" t="s">
        <v>55</v>
      </c>
      <c r="D572" s="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s="2" t="str">
        <f t="shared" si="8"/>
        <v>Low</v>
      </c>
    </row>
    <row r="573" spans="1:36" x14ac:dyDescent="0.35">
      <c r="A573">
        <v>26</v>
      </c>
      <c r="B573" t="s">
        <v>43</v>
      </c>
      <c r="C573" t="s">
        <v>44</v>
      </c>
      <c r="D573" s="2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s="2" t="str">
        <f t="shared" si="8"/>
        <v>Low</v>
      </c>
    </row>
    <row r="574" spans="1:36" x14ac:dyDescent="0.35">
      <c r="A574">
        <v>29</v>
      </c>
      <c r="B574" t="s">
        <v>43</v>
      </c>
      <c r="C574" t="s">
        <v>36</v>
      </c>
      <c r="D574" s="2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s="2" t="str">
        <f t="shared" si="8"/>
        <v>Low</v>
      </c>
    </row>
    <row r="575" spans="1:36" x14ac:dyDescent="0.35">
      <c r="A575">
        <v>26</v>
      </c>
      <c r="B575" t="s">
        <v>35</v>
      </c>
      <c r="C575" t="s">
        <v>36</v>
      </c>
      <c r="D575" s="2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s="2" t="str">
        <f t="shared" si="8"/>
        <v>Medium</v>
      </c>
    </row>
    <row r="576" spans="1:36" x14ac:dyDescent="0.35">
      <c r="A576">
        <v>34</v>
      </c>
      <c r="B576" t="s">
        <v>43</v>
      </c>
      <c r="C576" t="s">
        <v>36</v>
      </c>
      <c r="D576" s="2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s="2" t="str">
        <f t="shared" si="8"/>
        <v>Low</v>
      </c>
    </row>
    <row r="577" spans="1:36" x14ac:dyDescent="0.35">
      <c r="A577">
        <v>54</v>
      </c>
      <c r="B577" t="s">
        <v>43</v>
      </c>
      <c r="C577" t="s">
        <v>36</v>
      </c>
      <c r="D577" s="2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s="2" t="str">
        <f t="shared" si="8"/>
        <v>Medium</v>
      </c>
    </row>
    <row r="578" spans="1:36" x14ac:dyDescent="0.35">
      <c r="A578">
        <v>27</v>
      </c>
      <c r="B578" t="s">
        <v>43</v>
      </c>
      <c r="C578" t="s">
        <v>44</v>
      </c>
      <c r="D578" s="2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s="2" t="str">
        <f t="shared" ref="AJ578:AJ641" si="9">IF(S578&lt;5000,"Low",IF(S578&lt;10000,"Medium","High"))</f>
        <v>Low</v>
      </c>
    </row>
    <row r="579" spans="1:36" x14ac:dyDescent="0.35">
      <c r="A579">
        <v>37</v>
      </c>
      <c r="B579" t="s">
        <v>43</v>
      </c>
      <c r="C579" t="s">
        <v>36</v>
      </c>
      <c r="D579" s="2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s="2" t="str">
        <f t="shared" si="9"/>
        <v>Low</v>
      </c>
    </row>
    <row r="580" spans="1:36" x14ac:dyDescent="0.35">
      <c r="A580">
        <v>38</v>
      </c>
      <c r="B580" t="s">
        <v>43</v>
      </c>
      <c r="C580" t="s">
        <v>44</v>
      </c>
      <c r="D580" s="2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s="2" t="str">
        <f t="shared" si="9"/>
        <v>Medium</v>
      </c>
    </row>
    <row r="581" spans="1:36" x14ac:dyDescent="0.35">
      <c r="A581">
        <v>34</v>
      </c>
      <c r="B581" t="s">
        <v>43</v>
      </c>
      <c r="C581" t="s">
        <v>36</v>
      </c>
      <c r="D581" s="2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s="2" t="str">
        <f t="shared" si="9"/>
        <v>Low</v>
      </c>
    </row>
    <row r="582" spans="1:36" x14ac:dyDescent="0.35">
      <c r="A582">
        <v>35</v>
      </c>
      <c r="B582" t="s">
        <v>43</v>
      </c>
      <c r="C582" t="s">
        <v>36</v>
      </c>
      <c r="D582" s="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s="2" t="str">
        <f t="shared" si="9"/>
        <v>Low</v>
      </c>
    </row>
    <row r="583" spans="1:36" x14ac:dyDescent="0.35">
      <c r="A583">
        <v>30</v>
      </c>
      <c r="B583" t="s">
        <v>43</v>
      </c>
      <c r="C583" t="s">
        <v>36</v>
      </c>
      <c r="D583" s="2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s="2" t="str">
        <f t="shared" si="9"/>
        <v>Low</v>
      </c>
    </row>
    <row r="584" spans="1:36" x14ac:dyDescent="0.35">
      <c r="A584">
        <v>40</v>
      </c>
      <c r="B584" t="s">
        <v>43</v>
      </c>
      <c r="C584" t="s">
        <v>44</v>
      </c>
      <c r="D584" s="2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s="2" t="str">
        <f t="shared" si="9"/>
        <v>Low</v>
      </c>
    </row>
    <row r="585" spans="1:36" x14ac:dyDescent="0.35">
      <c r="A585">
        <v>34</v>
      </c>
      <c r="B585" t="s">
        <v>43</v>
      </c>
      <c r="C585" t="s">
        <v>36</v>
      </c>
      <c r="D585" s="2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s="2" t="str">
        <f t="shared" si="9"/>
        <v>Medium</v>
      </c>
    </row>
    <row r="586" spans="1:36" x14ac:dyDescent="0.35">
      <c r="A586">
        <v>42</v>
      </c>
      <c r="B586" t="s">
        <v>43</v>
      </c>
      <c r="C586" t="s">
        <v>44</v>
      </c>
      <c r="D586" s="2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s="2" t="str">
        <f t="shared" si="9"/>
        <v>High</v>
      </c>
    </row>
    <row r="587" spans="1:36" x14ac:dyDescent="0.35">
      <c r="A587">
        <v>23</v>
      </c>
      <c r="B587" t="s">
        <v>35</v>
      </c>
      <c r="C587" t="s">
        <v>36</v>
      </c>
      <c r="D587" s="2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s="2" t="str">
        <f t="shared" si="9"/>
        <v>Low</v>
      </c>
    </row>
    <row r="588" spans="1:36" x14ac:dyDescent="0.35">
      <c r="A588">
        <v>24</v>
      </c>
      <c r="B588" t="s">
        <v>43</v>
      </c>
      <c r="C588" t="s">
        <v>55</v>
      </c>
      <c r="D588" s="2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s="2" t="str">
        <f t="shared" si="9"/>
        <v>Low</v>
      </c>
    </row>
    <row r="589" spans="1:36" x14ac:dyDescent="0.35">
      <c r="A589">
        <v>52</v>
      </c>
      <c r="B589" t="s">
        <v>43</v>
      </c>
      <c r="C589" t="s">
        <v>36</v>
      </c>
      <c r="D589" s="2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s="2" t="str">
        <f t="shared" si="9"/>
        <v>Low</v>
      </c>
    </row>
    <row r="590" spans="1:36" x14ac:dyDescent="0.35">
      <c r="A590">
        <v>50</v>
      </c>
      <c r="B590" t="s">
        <v>43</v>
      </c>
      <c r="C590" t="s">
        <v>36</v>
      </c>
      <c r="D590" s="2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s="2" t="str">
        <f t="shared" si="9"/>
        <v>High</v>
      </c>
    </row>
    <row r="591" spans="1:36" x14ac:dyDescent="0.35">
      <c r="A591">
        <v>29</v>
      </c>
      <c r="B591" t="s">
        <v>35</v>
      </c>
      <c r="C591" t="s">
        <v>36</v>
      </c>
      <c r="D591" s="2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s="2" t="str">
        <f t="shared" si="9"/>
        <v>Low</v>
      </c>
    </row>
    <row r="592" spans="1:36" x14ac:dyDescent="0.35">
      <c r="A592">
        <v>33</v>
      </c>
      <c r="B592" t="s">
        <v>43</v>
      </c>
      <c r="C592" t="s">
        <v>36</v>
      </c>
      <c r="D592" s="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s="2" t="str">
        <f t="shared" si="9"/>
        <v>High</v>
      </c>
    </row>
    <row r="593" spans="1:36" x14ac:dyDescent="0.35">
      <c r="A593">
        <v>33</v>
      </c>
      <c r="B593" t="s">
        <v>35</v>
      </c>
      <c r="C593" t="s">
        <v>36</v>
      </c>
      <c r="D593" s="2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s="2" t="str">
        <f t="shared" si="9"/>
        <v>Medium</v>
      </c>
    </row>
    <row r="594" spans="1:36" x14ac:dyDescent="0.35">
      <c r="A594">
        <v>47</v>
      </c>
      <c r="B594" t="s">
        <v>43</v>
      </c>
      <c r="C594" t="s">
        <v>36</v>
      </c>
      <c r="D594" s="2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s="2" t="str">
        <f t="shared" si="9"/>
        <v>High</v>
      </c>
    </row>
    <row r="595" spans="1:36" x14ac:dyDescent="0.35">
      <c r="A595">
        <v>36</v>
      </c>
      <c r="B595" t="s">
        <v>43</v>
      </c>
      <c r="C595" t="s">
        <v>36</v>
      </c>
      <c r="D595" s="2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s="2" t="str">
        <f t="shared" si="9"/>
        <v>Medium</v>
      </c>
    </row>
    <row r="596" spans="1:36" x14ac:dyDescent="0.35">
      <c r="A596">
        <v>29</v>
      </c>
      <c r="B596" t="s">
        <v>43</v>
      </c>
      <c r="C596" t="s">
        <v>36</v>
      </c>
      <c r="D596" s="2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s="2" t="str">
        <f t="shared" si="9"/>
        <v>Low</v>
      </c>
    </row>
    <row r="597" spans="1:36" x14ac:dyDescent="0.35">
      <c r="A597">
        <v>58</v>
      </c>
      <c r="B597" t="s">
        <v>35</v>
      </c>
      <c r="C597" t="s">
        <v>36</v>
      </c>
      <c r="D597" s="2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s="2" t="str">
        <f t="shared" si="9"/>
        <v>High</v>
      </c>
    </row>
    <row r="598" spans="1:36" x14ac:dyDescent="0.35">
      <c r="A598">
        <v>35</v>
      </c>
      <c r="B598" t="s">
        <v>43</v>
      </c>
      <c r="C598" t="s">
        <v>36</v>
      </c>
      <c r="D598" s="2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s="2" t="str">
        <f t="shared" si="9"/>
        <v>Low</v>
      </c>
    </row>
    <row r="599" spans="1:36" x14ac:dyDescent="0.35">
      <c r="A599">
        <v>42</v>
      </c>
      <c r="B599" t="s">
        <v>43</v>
      </c>
      <c r="C599" t="s">
        <v>36</v>
      </c>
      <c r="D599" s="2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s="2" t="str">
        <f t="shared" si="9"/>
        <v>Medium</v>
      </c>
    </row>
    <row r="600" spans="1:36" x14ac:dyDescent="0.35">
      <c r="A600">
        <v>28</v>
      </c>
      <c r="B600" t="s">
        <v>35</v>
      </c>
      <c r="C600" t="s">
        <v>36</v>
      </c>
      <c r="D600" s="2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s="2" t="str">
        <f t="shared" si="9"/>
        <v>Low</v>
      </c>
    </row>
    <row r="601" spans="1:36" x14ac:dyDescent="0.35">
      <c r="A601">
        <v>36</v>
      </c>
      <c r="B601" t="s">
        <v>43</v>
      </c>
      <c r="C601" t="s">
        <v>36</v>
      </c>
      <c r="D601" s="2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s="2" t="str">
        <f t="shared" si="9"/>
        <v>Low</v>
      </c>
    </row>
    <row r="602" spans="1:36" x14ac:dyDescent="0.35">
      <c r="A602">
        <v>32</v>
      </c>
      <c r="B602" t="s">
        <v>43</v>
      </c>
      <c r="C602" t="s">
        <v>36</v>
      </c>
      <c r="D602" s="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s="2" t="str">
        <f t="shared" si="9"/>
        <v>Medium</v>
      </c>
    </row>
    <row r="603" spans="1:36" x14ac:dyDescent="0.35">
      <c r="A603">
        <v>40</v>
      </c>
      <c r="B603" t="s">
        <v>43</v>
      </c>
      <c r="C603" t="s">
        <v>44</v>
      </c>
      <c r="D603" s="2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s="2" t="str">
        <f t="shared" si="9"/>
        <v>Medium</v>
      </c>
    </row>
    <row r="604" spans="1:36" x14ac:dyDescent="0.35">
      <c r="A604">
        <v>30</v>
      </c>
      <c r="B604" t="s">
        <v>43</v>
      </c>
      <c r="C604" t="s">
        <v>36</v>
      </c>
      <c r="D604" s="2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s="2" t="str">
        <f t="shared" si="9"/>
        <v>Medium</v>
      </c>
    </row>
    <row r="605" spans="1:36" x14ac:dyDescent="0.35">
      <c r="A605">
        <v>45</v>
      </c>
      <c r="B605" t="s">
        <v>43</v>
      </c>
      <c r="C605" t="s">
        <v>36</v>
      </c>
      <c r="D605" s="2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s="2" t="str">
        <f t="shared" si="9"/>
        <v>Low</v>
      </c>
    </row>
    <row r="606" spans="1:36" x14ac:dyDescent="0.35">
      <c r="A606">
        <v>42</v>
      </c>
      <c r="B606" t="s">
        <v>43</v>
      </c>
      <c r="C606" t="s">
        <v>36</v>
      </c>
      <c r="D606" s="2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s="2" t="str">
        <f t="shared" si="9"/>
        <v>Low</v>
      </c>
    </row>
    <row r="607" spans="1:36" x14ac:dyDescent="0.35">
      <c r="A607">
        <v>38</v>
      </c>
      <c r="B607" t="s">
        <v>43</v>
      </c>
      <c r="C607" t="s">
        <v>44</v>
      </c>
      <c r="D607" s="2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s="2" t="str">
        <f t="shared" si="9"/>
        <v>Medium</v>
      </c>
    </row>
    <row r="608" spans="1:36" x14ac:dyDescent="0.35">
      <c r="A608">
        <v>34</v>
      </c>
      <c r="B608" t="s">
        <v>43</v>
      </c>
      <c r="C608" t="s">
        <v>44</v>
      </c>
      <c r="D608" s="2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s="2" t="str">
        <f t="shared" si="9"/>
        <v>Low</v>
      </c>
    </row>
    <row r="609" spans="1:36" x14ac:dyDescent="0.35">
      <c r="A609">
        <v>49</v>
      </c>
      <c r="B609" t="s">
        <v>35</v>
      </c>
      <c r="C609" t="s">
        <v>36</v>
      </c>
      <c r="D609" s="2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s="2" t="str">
        <f t="shared" si="9"/>
        <v>Medium</v>
      </c>
    </row>
    <row r="610" spans="1:36" x14ac:dyDescent="0.35">
      <c r="A610">
        <v>55</v>
      </c>
      <c r="B610" t="s">
        <v>35</v>
      </c>
      <c r="C610" t="s">
        <v>36</v>
      </c>
      <c r="D610" s="2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s="2" t="str">
        <f t="shared" si="9"/>
        <v>Medium</v>
      </c>
    </row>
    <row r="611" spans="1:36" x14ac:dyDescent="0.35">
      <c r="A611">
        <v>43</v>
      </c>
      <c r="B611" t="s">
        <v>43</v>
      </c>
      <c r="C611" t="s">
        <v>36</v>
      </c>
      <c r="D611" s="2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s="2" t="str">
        <f t="shared" si="9"/>
        <v>High</v>
      </c>
    </row>
    <row r="612" spans="1:36" x14ac:dyDescent="0.35">
      <c r="A612">
        <v>27</v>
      </c>
      <c r="B612" t="s">
        <v>43</v>
      </c>
      <c r="C612" t="s">
        <v>36</v>
      </c>
      <c r="D612" s="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s="2" t="str">
        <f t="shared" si="9"/>
        <v>High</v>
      </c>
    </row>
    <row r="613" spans="1:36" x14ac:dyDescent="0.35">
      <c r="A613">
        <v>35</v>
      </c>
      <c r="B613" t="s">
        <v>43</v>
      </c>
      <c r="C613" t="s">
        <v>36</v>
      </c>
      <c r="D613" s="2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s="2" t="str">
        <f t="shared" si="9"/>
        <v>High</v>
      </c>
    </row>
    <row r="614" spans="1:36" x14ac:dyDescent="0.35">
      <c r="A614">
        <v>28</v>
      </c>
      <c r="B614" t="s">
        <v>43</v>
      </c>
      <c r="C614" t="s">
        <v>36</v>
      </c>
      <c r="D614" s="2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s="2" t="str">
        <f t="shared" si="9"/>
        <v>Low</v>
      </c>
    </row>
    <row r="615" spans="1:36" x14ac:dyDescent="0.35">
      <c r="A615">
        <v>34</v>
      </c>
      <c r="B615" t="s">
        <v>43</v>
      </c>
      <c r="C615" t="s">
        <v>36</v>
      </c>
      <c r="D615" s="2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s="2" t="str">
        <f t="shared" si="9"/>
        <v>Low</v>
      </c>
    </row>
    <row r="616" spans="1:36" x14ac:dyDescent="0.35">
      <c r="A616">
        <v>26</v>
      </c>
      <c r="B616" t="s">
        <v>35</v>
      </c>
      <c r="C616" t="s">
        <v>44</v>
      </c>
      <c r="D616" s="2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s="2" t="str">
        <f t="shared" si="9"/>
        <v>Low</v>
      </c>
    </row>
    <row r="617" spans="1:36" x14ac:dyDescent="0.35">
      <c r="A617">
        <v>27</v>
      </c>
      <c r="B617" t="s">
        <v>43</v>
      </c>
      <c r="C617" t="s">
        <v>55</v>
      </c>
      <c r="D617" s="2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s="2" t="str">
        <f t="shared" si="9"/>
        <v>Low</v>
      </c>
    </row>
    <row r="618" spans="1:36" x14ac:dyDescent="0.35">
      <c r="A618">
        <v>51</v>
      </c>
      <c r="B618" t="s">
        <v>43</v>
      </c>
      <c r="C618" t="s">
        <v>36</v>
      </c>
      <c r="D618" s="2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s="2" t="str">
        <f t="shared" si="9"/>
        <v>High</v>
      </c>
    </row>
    <row r="619" spans="1:36" x14ac:dyDescent="0.35">
      <c r="A619">
        <v>44</v>
      </c>
      <c r="B619" t="s">
        <v>43</v>
      </c>
      <c r="C619" t="s">
        <v>36</v>
      </c>
      <c r="D619" s="2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s="2" t="str">
        <f t="shared" si="9"/>
        <v>Medium</v>
      </c>
    </row>
    <row r="620" spans="1:36" x14ac:dyDescent="0.35">
      <c r="A620">
        <v>25</v>
      </c>
      <c r="B620" t="s">
        <v>43</v>
      </c>
      <c r="C620" t="s">
        <v>36</v>
      </c>
      <c r="D620" s="2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s="2" t="str">
        <f t="shared" si="9"/>
        <v>Low</v>
      </c>
    </row>
    <row r="621" spans="1:36" x14ac:dyDescent="0.35">
      <c r="A621">
        <v>33</v>
      </c>
      <c r="B621" t="s">
        <v>43</v>
      </c>
      <c r="C621" t="s">
        <v>36</v>
      </c>
      <c r="D621" s="2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s="2" t="str">
        <f t="shared" si="9"/>
        <v>Low</v>
      </c>
    </row>
    <row r="622" spans="1:36" x14ac:dyDescent="0.35">
      <c r="A622">
        <v>35</v>
      </c>
      <c r="B622" t="s">
        <v>43</v>
      </c>
      <c r="C622" t="s">
        <v>36</v>
      </c>
      <c r="D622" s="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s="2" t="str">
        <f t="shared" si="9"/>
        <v>Low</v>
      </c>
    </row>
    <row r="623" spans="1:36" x14ac:dyDescent="0.35">
      <c r="A623">
        <v>36</v>
      </c>
      <c r="B623" t="s">
        <v>43</v>
      </c>
      <c r="C623" t="s">
        <v>36</v>
      </c>
      <c r="D623" s="2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s="2" t="str">
        <f t="shared" si="9"/>
        <v>Medium</v>
      </c>
    </row>
    <row r="624" spans="1:36" x14ac:dyDescent="0.35">
      <c r="A624">
        <v>32</v>
      </c>
      <c r="B624" t="s">
        <v>43</v>
      </c>
      <c r="C624" t="s">
        <v>36</v>
      </c>
      <c r="D624" s="2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s="2" t="str">
        <f t="shared" si="9"/>
        <v>Low</v>
      </c>
    </row>
    <row r="625" spans="1:36" x14ac:dyDescent="0.35">
      <c r="A625">
        <v>30</v>
      </c>
      <c r="B625" t="s">
        <v>43</v>
      </c>
      <c r="C625" t="s">
        <v>44</v>
      </c>
      <c r="D625" s="2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s="2" t="str">
        <f t="shared" si="9"/>
        <v>Low</v>
      </c>
    </row>
    <row r="626" spans="1:36" x14ac:dyDescent="0.35">
      <c r="A626">
        <v>53</v>
      </c>
      <c r="B626" t="s">
        <v>43</v>
      </c>
      <c r="C626" t="s">
        <v>36</v>
      </c>
      <c r="D626" s="2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s="2" t="str">
        <f t="shared" si="9"/>
        <v>High</v>
      </c>
    </row>
    <row r="627" spans="1:36" x14ac:dyDescent="0.35">
      <c r="A627">
        <v>45</v>
      </c>
      <c r="B627" t="s">
        <v>43</v>
      </c>
      <c r="C627" t="s">
        <v>36</v>
      </c>
      <c r="D627" s="2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s="2" t="str">
        <f t="shared" si="9"/>
        <v>High</v>
      </c>
    </row>
    <row r="628" spans="1:36" x14ac:dyDescent="0.35">
      <c r="A628">
        <v>32</v>
      </c>
      <c r="B628" t="s">
        <v>43</v>
      </c>
      <c r="C628" t="s">
        <v>36</v>
      </c>
      <c r="D628" s="2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s="2" t="str">
        <f t="shared" si="9"/>
        <v>Medium</v>
      </c>
    </row>
    <row r="629" spans="1:36" x14ac:dyDescent="0.35">
      <c r="A629">
        <v>52</v>
      </c>
      <c r="B629" t="s">
        <v>43</v>
      </c>
      <c r="C629" t="s">
        <v>44</v>
      </c>
      <c r="D629" s="2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s="2" t="str">
        <f t="shared" si="9"/>
        <v>High</v>
      </c>
    </row>
    <row r="630" spans="1:36" x14ac:dyDescent="0.35">
      <c r="A630">
        <v>37</v>
      </c>
      <c r="B630" t="s">
        <v>43</v>
      </c>
      <c r="C630" t="s">
        <v>36</v>
      </c>
      <c r="D630" s="2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s="2" t="str">
        <f t="shared" si="9"/>
        <v>Medium</v>
      </c>
    </row>
    <row r="631" spans="1:36" x14ac:dyDescent="0.35">
      <c r="A631">
        <v>28</v>
      </c>
      <c r="B631" t="s">
        <v>43</v>
      </c>
      <c r="C631" t="s">
        <v>36</v>
      </c>
      <c r="D631" s="2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s="2" t="str">
        <f t="shared" si="9"/>
        <v>Low</v>
      </c>
    </row>
    <row r="632" spans="1:36" x14ac:dyDescent="0.35">
      <c r="A632">
        <v>22</v>
      </c>
      <c r="B632" t="s">
        <v>43</v>
      </c>
      <c r="C632" t="s">
        <v>36</v>
      </c>
      <c r="D632" s="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s="2" t="str">
        <f t="shared" si="9"/>
        <v>Low</v>
      </c>
    </row>
    <row r="633" spans="1:36" x14ac:dyDescent="0.35">
      <c r="A633">
        <v>44</v>
      </c>
      <c r="B633" t="s">
        <v>43</v>
      </c>
      <c r="C633" t="s">
        <v>36</v>
      </c>
      <c r="D633" s="2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s="2" t="str">
        <f t="shared" si="9"/>
        <v>Low</v>
      </c>
    </row>
    <row r="634" spans="1:36" x14ac:dyDescent="0.35">
      <c r="A634">
        <v>42</v>
      </c>
      <c r="B634" t="s">
        <v>43</v>
      </c>
      <c r="C634" t="s">
        <v>44</v>
      </c>
      <c r="D634" s="2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s="2" t="str">
        <f t="shared" si="9"/>
        <v>Low</v>
      </c>
    </row>
    <row r="635" spans="1:36" x14ac:dyDescent="0.35">
      <c r="A635">
        <v>36</v>
      </c>
      <c r="B635" t="s">
        <v>43</v>
      </c>
      <c r="C635" t="s">
        <v>36</v>
      </c>
      <c r="D635" s="2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s="2" t="str">
        <f t="shared" si="9"/>
        <v>Low</v>
      </c>
    </row>
    <row r="636" spans="1:36" x14ac:dyDescent="0.35">
      <c r="A636">
        <v>25</v>
      </c>
      <c r="B636" t="s">
        <v>43</v>
      </c>
      <c r="C636" t="s">
        <v>36</v>
      </c>
      <c r="D636" s="2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s="2" t="str">
        <f t="shared" si="9"/>
        <v>Low</v>
      </c>
    </row>
    <row r="637" spans="1:36" x14ac:dyDescent="0.35">
      <c r="A637">
        <v>35</v>
      </c>
      <c r="B637" t="s">
        <v>43</v>
      </c>
      <c r="C637" t="s">
        <v>36</v>
      </c>
      <c r="D637" s="2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s="2" t="str">
        <f t="shared" si="9"/>
        <v>High</v>
      </c>
    </row>
    <row r="638" spans="1:36" x14ac:dyDescent="0.35">
      <c r="A638">
        <v>35</v>
      </c>
      <c r="B638" t="s">
        <v>35</v>
      </c>
      <c r="C638" t="s">
        <v>44</v>
      </c>
      <c r="D638" s="2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s="2" t="str">
        <f t="shared" si="9"/>
        <v>Low</v>
      </c>
    </row>
    <row r="639" spans="1:36" x14ac:dyDescent="0.35">
      <c r="A639">
        <v>32</v>
      </c>
      <c r="B639" t="s">
        <v>43</v>
      </c>
      <c r="C639" t="s">
        <v>55</v>
      </c>
      <c r="D639" s="2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s="2" t="str">
        <f t="shared" si="9"/>
        <v>Low</v>
      </c>
    </row>
    <row r="640" spans="1:36" x14ac:dyDescent="0.35">
      <c r="A640">
        <v>25</v>
      </c>
      <c r="B640" t="s">
        <v>43</v>
      </c>
      <c r="C640" t="s">
        <v>36</v>
      </c>
      <c r="D640" s="2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s="2" t="str">
        <f t="shared" si="9"/>
        <v>Low</v>
      </c>
    </row>
    <row r="641" spans="1:36" x14ac:dyDescent="0.35">
      <c r="A641">
        <v>49</v>
      </c>
      <c r="B641" t="s">
        <v>43</v>
      </c>
      <c r="C641" t="s">
        <v>36</v>
      </c>
      <c r="D641" s="2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s="2" t="str">
        <f t="shared" si="9"/>
        <v>Low</v>
      </c>
    </row>
    <row r="642" spans="1:36" x14ac:dyDescent="0.35">
      <c r="A642">
        <v>24</v>
      </c>
      <c r="B642" t="s">
        <v>43</v>
      </c>
      <c r="C642" t="s">
        <v>55</v>
      </c>
      <c r="D642" s="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s="2" t="str">
        <f t="shared" ref="AJ642:AJ705" si="10">IF(S642&lt;5000,"Low",IF(S642&lt;10000,"Medium","High"))</f>
        <v>Low</v>
      </c>
    </row>
    <row r="643" spans="1:36" x14ac:dyDescent="0.35">
      <c r="A643">
        <v>32</v>
      </c>
      <c r="B643" t="s">
        <v>43</v>
      </c>
      <c r="C643" t="s">
        <v>44</v>
      </c>
      <c r="D643" s="2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s="2" t="str">
        <f t="shared" si="10"/>
        <v>Medium</v>
      </c>
    </row>
    <row r="644" spans="1:36" x14ac:dyDescent="0.35">
      <c r="A644">
        <v>38</v>
      </c>
      <c r="B644" t="s">
        <v>43</v>
      </c>
      <c r="C644" t="s">
        <v>36</v>
      </c>
      <c r="D644" s="2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s="2" t="str">
        <f t="shared" si="10"/>
        <v>Low</v>
      </c>
    </row>
    <row r="645" spans="1:36" x14ac:dyDescent="0.35">
      <c r="A645">
        <v>42</v>
      </c>
      <c r="B645" t="s">
        <v>43</v>
      </c>
      <c r="C645" t="s">
        <v>36</v>
      </c>
      <c r="D645" s="2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s="2" t="str">
        <f t="shared" si="10"/>
        <v>Medium</v>
      </c>
    </row>
    <row r="646" spans="1:36" x14ac:dyDescent="0.35">
      <c r="A646">
        <v>31</v>
      </c>
      <c r="B646" t="s">
        <v>43</v>
      </c>
      <c r="C646" t="s">
        <v>36</v>
      </c>
      <c r="D646" s="2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s="2" t="str">
        <f t="shared" si="10"/>
        <v>Low</v>
      </c>
    </row>
    <row r="647" spans="1:36" x14ac:dyDescent="0.35">
      <c r="A647">
        <v>29</v>
      </c>
      <c r="B647" t="s">
        <v>35</v>
      </c>
      <c r="C647" t="s">
        <v>36</v>
      </c>
      <c r="D647" s="2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s="2" t="str">
        <f t="shared" si="10"/>
        <v>Low</v>
      </c>
    </row>
    <row r="648" spans="1:36" x14ac:dyDescent="0.35">
      <c r="A648">
        <v>53</v>
      </c>
      <c r="B648" t="s">
        <v>43</v>
      </c>
      <c r="C648" t="s">
        <v>36</v>
      </c>
      <c r="D648" s="2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s="2" t="str">
        <f t="shared" si="10"/>
        <v>High</v>
      </c>
    </row>
    <row r="649" spans="1:36" x14ac:dyDescent="0.35">
      <c r="A649">
        <v>35</v>
      </c>
      <c r="B649" t="s">
        <v>43</v>
      </c>
      <c r="C649" t="s">
        <v>36</v>
      </c>
      <c r="D649" s="2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s="2" t="str">
        <f t="shared" si="10"/>
        <v>High</v>
      </c>
    </row>
    <row r="650" spans="1:36" x14ac:dyDescent="0.35">
      <c r="A650">
        <v>37</v>
      </c>
      <c r="B650" t="s">
        <v>43</v>
      </c>
      <c r="C650" t="s">
        <v>44</v>
      </c>
      <c r="D650" s="2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s="2" t="str">
        <f t="shared" si="10"/>
        <v>Low</v>
      </c>
    </row>
    <row r="651" spans="1:36" x14ac:dyDescent="0.35">
      <c r="A651">
        <v>53</v>
      </c>
      <c r="B651" t="s">
        <v>43</v>
      </c>
      <c r="C651" t="s">
        <v>36</v>
      </c>
      <c r="D651" s="2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s="2" t="str">
        <f t="shared" si="10"/>
        <v>High</v>
      </c>
    </row>
    <row r="652" spans="1:36" x14ac:dyDescent="0.35">
      <c r="A652">
        <v>43</v>
      </c>
      <c r="B652" t="s">
        <v>43</v>
      </c>
      <c r="C652" t="s">
        <v>44</v>
      </c>
      <c r="D652" s="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s="2" t="str">
        <f t="shared" si="10"/>
        <v>Medium</v>
      </c>
    </row>
    <row r="653" spans="1:36" x14ac:dyDescent="0.35">
      <c r="A653">
        <v>47</v>
      </c>
      <c r="B653" t="s">
        <v>43</v>
      </c>
      <c r="C653" t="s">
        <v>36</v>
      </c>
      <c r="D653" s="2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s="2" t="str">
        <f t="shared" si="10"/>
        <v>Low</v>
      </c>
    </row>
    <row r="654" spans="1:36" x14ac:dyDescent="0.35">
      <c r="A654">
        <v>37</v>
      </c>
      <c r="B654" t="s">
        <v>43</v>
      </c>
      <c r="C654" t="s">
        <v>55</v>
      </c>
      <c r="D654" s="2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s="2" t="str">
        <f t="shared" si="10"/>
        <v>Medium</v>
      </c>
    </row>
    <row r="655" spans="1:36" x14ac:dyDescent="0.35">
      <c r="A655">
        <v>50</v>
      </c>
      <c r="B655" t="s">
        <v>43</v>
      </c>
      <c r="C655" t="s">
        <v>55</v>
      </c>
      <c r="D655" s="2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s="2" t="str">
        <f t="shared" si="10"/>
        <v>High</v>
      </c>
    </row>
    <row r="656" spans="1:36" x14ac:dyDescent="0.35">
      <c r="A656">
        <v>39</v>
      </c>
      <c r="B656" t="s">
        <v>43</v>
      </c>
      <c r="C656" t="s">
        <v>36</v>
      </c>
      <c r="D656" s="2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s="2" t="str">
        <f t="shared" si="10"/>
        <v>Medium</v>
      </c>
    </row>
    <row r="657" spans="1:36" x14ac:dyDescent="0.35">
      <c r="A657">
        <v>33</v>
      </c>
      <c r="B657" t="s">
        <v>43</v>
      </c>
      <c r="C657" t="s">
        <v>36</v>
      </c>
      <c r="D657" s="2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s="2" t="str">
        <f t="shared" si="10"/>
        <v>Low</v>
      </c>
    </row>
    <row r="658" spans="1:36" x14ac:dyDescent="0.35">
      <c r="A658">
        <v>32</v>
      </c>
      <c r="B658" t="s">
        <v>35</v>
      </c>
      <c r="C658" t="s">
        <v>36</v>
      </c>
      <c r="D658" s="2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s="2" t="str">
        <f t="shared" si="10"/>
        <v>Low</v>
      </c>
    </row>
    <row r="659" spans="1:36" x14ac:dyDescent="0.35">
      <c r="A659">
        <v>29</v>
      </c>
      <c r="B659" t="s">
        <v>43</v>
      </c>
      <c r="C659" t="s">
        <v>36</v>
      </c>
      <c r="D659" s="2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s="2" t="str">
        <f t="shared" si="10"/>
        <v>Low</v>
      </c>
    </row>
    <row r="660" spans="1:36" x14ac:dyDescent="0.35">
      <c r="A660">
        <v>44</v>
      </c>
      <c r="B660" t="s">
        <v>43</v>
      </c>
      <c r="C660" t="s">
        <v>36</v>
      </c>
      <c r="D660" s="2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s="2" t="str">
        <f t="shared" si="10"/>
        <v>Low</v>
      </c>
    </row>
    <row r="661" spans="1:36" x14ac:dyDescent="0.35">
      <c r="A661">
        <v>28</v>
      </c>
      <c r="B661" t="s">
        <v>43</v>
      </c>
      <c r="C661" t="s">
        <v>36</v>
      </c>
      <c r="D661" s="2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s="2" t="str">
        <f t="shared" si="10"/>
        <v>Low</v>
      </c>
    </row>
    <row r="662" spans="1:36" x14ac:dyDescent="0.35">
      <c r="A662">
        <v>58</v>
      </c>
      <c r="B662" t="s">
        <v>35</v>
      </c>
      <c r="C662" t="s">
        <v>44</v>
      </c>
      <c r="D662" s="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s="2" t="str">
        <f t="shared" si="10"/>
        <v>Low</v>
      </c>
    </row>
    <row r="663" spans="1:36" x14ac:dyDescent="0.35">
      <c r="A663">
        <v>43</v>
      </c>
      <c r="B663" t="s">
        <v>43</v>
      </c>
      <c r="C663" t="s">
        <v>36</v>
      </c>
      <c r="D663" s="2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s="2" t="str">
        <f t="shared" si="10"/>
        <v>Low</v>
      </c>
    </row>
    <row r="664" spans="1:36" x14ac:dyDescent="0.35">
      <c r="A664">
        <v>20</v>
      </c>
      <c r="B664" t="s">
        <v>35</v>
      </c>
      <c r="C664" t="s">
        <v>36</v>
      </c>
      <c r="D664" s="2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s="2" t="str">
        <f t="shared" si="10"/>
        <v>Low</v>
      </c>
    </row>
    <row r="665" spans="1:36" x14ac:dyDescent="0.35">
      <c r="A665">
        <v>21</v>
      </c>
      <c r="B665" t="s">
        <v>35</v>
      </c>
      <c r="C665" t="s">
        <v>36</v>
      </c>
      <c r="D665" s="2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s="2" t="str">
        <f t="shared" si="10"/>
        <v>Low</v>
      </c>
    </row>
    <row r="666" spans="1:36" x14ac:dyDescent="0.35">
      <c r="A666">
        <v>36</v>
      </c>
      <c r="B666" t="s">
        <v>43</v>
      </c>
      <c r="C666" t="s">
        <v>36</v>
      </c>
      <c r="D666" s="2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s="2" t="str">
        <f t="shared" si="10"/>
        <v>Medium</v>
      </c>
    </row>
    <row r="667" spans="1:36" x14ac:dyDescent="0.35">
      <c r="A667">
        <v>47</v>
      </c>
      <c r="B667" t="s">
        <v>43</v>
      </c>
      <c r="C667" t="s">
        <v>36</v>
      </c>
      <c r="D667" s="2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s="2" t="str">
        <f t="shared" si="10"/>
        <v>Low</v>
      </c>
    </row>
    <row r="668" spans="1:36" x14ac:dyDescent="0.35">
      <c r="A668">
        <v>22</v>
      </c>
      <c r="B668" t="s">
        <v>35</v>
      </c>
      <c r="C668" t="s">
        <v>36</v>
      </c>
      <c r="D668" s="2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s="2" t="str">
        <f t="shared" si="10"/>
        <v>Low</v>
      </c>
    </row>
    <row r="669" spans="1:36" x14ac:dyDescent="0.35">
      <c r="A669">
        <v>41</v>
      </c>
      <c r="B669" t="s">
        <v>35</v>
      </c>
      <c r="C669" t="s">
        <v>36</v>
      </c>
      <c r="D669" s="2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s="2" t="str">
        <f t="shared" si="10"/>
        <v>Low</v>
      </c>
    </row>
    <row r="670" spans="1:36" x14ac:dyDescent="0.35">
      <c r="A670">
        <v>28</v>
      </c>
      <c r="B670" t="s">
        <v>43</v>
      </c>
      <c r="C670" t="s">
        <v>36</v>
      </c>
      <c r="D670" s="2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s="2" t="str">
        <f t="shared" si="10"/>
        <v>Low</v>
      </c>
    </row>
    <row r="671" spans="1:36" x14ac:dyDescent="0.35">
      <c r="A671">
        <v>39</v>
      </c>
      <c r="B671" t="s">
        <v>35</v>
      </c>
      <c r="C671" t="s">
        <v>36</v>
      </c>
      <c r="D671" s="2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s="2" t="str">
        <f t="shared" si="10"/>
        <v>Low</v>
      </c>
    </row>
    <row r="672" spans="1:36" x14ac:dyDescent="0.35">
      <c r="A672">
        <v>27</v>
      </c>
      <c r="B672" t="s">
        <v>43</v>
      </c>
      <c r="C672" t="s">
        <v>36</v>
      </c>
      <c r="D672" s="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s="2" t="str">
        <f t="shared" si="10"/>
        <v>Low</v>
      </c>
    </row>
    <row r="673" spans="1:36" x14ac:dyDescent="0.35">
      <c r="A673">
        <v>34</v>
      </c>
      <c r="B673" t="s">
        <v>43</v>
      </c>
      <c r="C673" t="s">
        <v>36</v>
      </c>
      <c r="D673" s="2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s="2" t="str">
        <f t="shared" si="10"/>
        <v>Low</v>
      </c>
    </row>
    <row r="674" spans="1:36" x14ac:dyDescent="0.35">
      <c r="A674">
        <v>42</v>
      </c>
      <c r="B674" t="s">
        <v>43</v>
      </c>
      <c r="C674" t="s">
        <v>36</v>
      </c>
      <c r="D674" s="2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s="2" t="str">
        <f t="shared" si="10"/>
        <v>Medium</v>
      </c>
    </row>
    <row r="675" spans="1:36" x14ac:dyDescent="0.35">
      <c r="A675">
        <v>33</v>
      </c>
      <c r="B675" t="s">
        <v>43</v>
      </c>
      <c r="C675" t="s">
        <v>36</v>
      </c>
      <c r="D675" s="2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s="2" t="str">
        <f t="shared" si="10"/>
        <v>Low</v>
      </c>
    </row>
    <row r="676" spans="1:36" x14ac:dyDescent="0.35">
      <c r="A676">
        <v>58</v>
      </c>
      <c r="B676" t="s">
        <v>43</v>
      </c>
      <c r="C676" t="s">
        <v>36</v>
      </c>
      <c r="D676" s="2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s="2" t="str">
        <f t="shared" si="10"/>
        <v>High</v>
      </c>
    </row>
    <row r="677" spans="1:36" x14ac:dyDescent="0.35">
      <c r="A677">
        <v>31</v>
      </c>
      <c r="B677" t="s">
        <v>43</v>
      </c>
      <c r="C677" t="s">
        <v>36</v>
      </c>
      <c r="D677" s="2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s="2" t="str">
        <f t="shared" si="10"/>
        <v>Low</v>
      </c>
    </row>
    <row r="678" spans="1:36" x14ac:dyDescent="0.35">
      <c r="A678">
        <v>35</v>
      </c>
      <c r="B678" t="s">
        <v>43</v>
      </c>
      <c r="C678" t="s">
        <v>36</v>
      </c>
      <c r="D678" s="2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s="2" t="str">
        <f t="shared" si="10"/>
        <v>Low</v>
      </c>
    </row>
    <row r="679" spans="1:36" x14ac:dyDescent="0.35">
      <c r="A679">
        <v>49</v>
      </c>
      <c r="B679" t="s">
        <v>43</v>
      </c>
      <c r="C679" t="s">
        <v>36</v>
      </c>
      <c r="D679" s="2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s="2" t="str">
        <f t="shared" si="10"/>
        <v>Medium</v>
      </c>
    </row>
    <row r="680" spans="1:36" x14ac:dyDescent="0.35">
      <c r="A680">
        <v>48</v>
      </c>
      <c r="B680" t="s">
        <v>43</v>
      </c>
      <c r="C680" t="s">
        <v>36</v>
      </c>
      <c r="D680" s="2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s="2" t="str">
        <f t="shared" si="10"/>
        <v>Low</v>
      </c>
    </row>
    <row r="681" spans="1:36" x14ac:dyDescent="0.35">
      <c r="A681">
        <v>31</v>
      </c>
      <c r="B681" t="s">
        <v>43</v>
      </c>
      <c r="C681" t="s">
        <v>55</v>
      </c>
      <c r="D681" s="2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s="2" t="str">
        <f t="shared" si="10"/>
        <v>Medium</v>
      </c>
    </row>
    <row r="682" spans="1:36" x14ac:dyDescent="0.35">
      <c r="A682">
        <v>36</v>
      </c>
      <c r="B682" t="s">
        <v>43</v>
      </c>
      <c r="C682" t="s">
        <v>36</v>
      </c>
      <c r="D682" s="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s="2" t="str">
        <f t="shared" si="10"/>
        <v>Low</v>
      </c>
    </row>
    <row r="683" spans="1:36" x14ac:dyDescent="0.35">
      <c r="A683">
        <v>38</v>
      </c>
      <c r="B683" t="s">
        <v>43</v>
      </c>
      <c r="C683" t="s">
        <v>36</v>
      </c>
      <c r="D683" s="2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s="2" t="str">
        <f t="shared" si="10"/>
        <v>High</v>
      </c>
    </row>
    <row r="684" spans="1:36" x14ac:dyDescent="0.35">
      <c r="A684">
        <v>32</v>
      </c>
      <c r="B684" t="s">
        <v>43</v>
      </c>
      <c r="C684" t="s">
        <v>55</v>
      </c>
      <c r="D684" s="2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s="2" t="str">
        <f t="shared" si="10"/>
        <v>Low</v>
      </c>
    </row>
    <row r="685" spans="1:36" x14ac:dyDescent="0.35">
      <c r="A685">
        <v>25</v>
      </c>
      <c r="B685" t="s">
        <v>35</v>
      </c>
      <c r="C685" t="s">
        <v>36</v>
      </c>
      <c r="D685" s="2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s="2" t="str">
        <f t="shared" si="10"/>
        <v>Low</v>
      </c>
    </row>
    <row r="686" spans="1:36" x14ac:dyDescent="0.35">
      <c r="A686">
        <v>40</v>
      </c>
      <c r="B686" t="s">
        <v>43</v>
      </c>
      <c r="C686" t="s">
        <v>36</v>
      </c>
      <c r="D686" s="2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s="2" t="str">
        <f t="shared" si="10"/>
        <v>Medium</v>
      </c>
    </row>
    <row r="687" spans="1:36" x14ac:dyDescent="0.35">
      <c r="A687">
        <v>26</v>
      </c>
      <c r="B687" t="s">
        <v>43</v>
      </c>
      <c r="C687" t="s">
        <v>44</v>
      </c>
      <c r="D687" s="2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s="2" t="str">
        <f t="shared" si="10"/>
        <v>Low</v>
      </c>
    </row>
    <row r="688" spans="1:36" x14ac:dyDescent="0.35">
      <c r="A688">
        <v>41</v>
      </c>
      <c r="B688" t="s">
        <v>43</v>
      </c>
      <c r="C688" t="s">
        <v>36</v>
      </c>
      <c r="D688" s="2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s="2" t="str">
        <f t="shared" si="10"/>
        <v>Low</v>
      </c>
    </row>
    <row r="689" spans="1:36" x14ac:dyDescent="0.35">
      <c r="A689">
        <v>36</v>
      </c>
      <c r="B689" t="s">
        <v>43</v>
      </c>
      <c r="C689" t="s">
        <v>36</v>
      </c>
      <c r="D689" s="2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s="2" t="str">
        <f t="shared" si="10"/>
        <v>Low</v>
      </c>
    </row>
    <row r="690" spans="1:36" x14ac:dyDescent="0.35">
      <c r="A690">
        <v>19</v>
      </c>
      <c r="B690" t="s">
        <v>35</v>
      </c>
      <c r="C690" t="s">
        <v>36</v>
      </c>
      <c r="D690" s="2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s="2" t="str">
        <f t="shared" si="10"/>
        <v>Low</v>
      </c>
    </row>
    <row r="691" spans="1:36" x14ac:dyDescent="0.35">
      <c r="A691">
        <v>20</v>
      </c>
      <c r="B691" t="s">
        <v>35</v>
      </c>
      <c r="C691" t="s">
        <v>36</v>
      </c>
      <c r="D691" s="2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s="2" t="str">
        <f t="shared" si="10"/>
        <v>Low</v>
      </c>
    </row>
    <row r="692" spans="1:36" x14ac:dyDescent="0.35">
      <c r="A692">
        <v>31</v>
      </c>
      <c r="B692" t="s">
        <v>43</v>
      </c>
      <c r="C692" t="s">
        <v>36</v>
      </c>
      <c r="D692" s="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s="2" t="str">
        <f t="shared" si="10"/>
        <v>Medium</v>
      </c>
    </row>
    <row r="693" spans="1:36" x14ac:dyDescent="0.35">
      <c r="A693">
        <v>40</v>
      </c>
      <c r="B693" t="s">
        <v>43</v>
      </c>
      <c r="C693" t="s">
        <v>44</v>
      </c>
      <c r="D693" s="2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s="2" t="str">
        <f t="shared" si="10"/>
        <v>Low</v>
      </c>
    </row>
    <row r="694" spans="1:36" x14ac:dyDescent="0.35">
      <c r="A694">
        <v>32</v>
      </c>
      <c r="B694" t="s">
        <v>43</v>
      </c>
      <c r="C694" t="s">
        <v>36</v>
      </c>
      <c r="D694" s="2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s="2" t="str">
        <f t="shared" si="10"/>
        <v>Medium</v>
      </c>
    </row>
    <row r="695" spans="1:36" x14ac:dyDescent="0.35">
      <c r="A695">
        <v>36</v>
      </c>
      <c r="B695" t="s">
        <v>35</v>
      </c>
      <c r="C695" t="s">
        <v>36</v>
      </c>
      <c r="D695" s="2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s="2" t="str">
        <f t="shared" si="10"/>
        <v>High</v>
      </c>
    </row>
    <row r="696" spans="1:36" x14ac:dyDescent="0.35">
      <c r="A696">
        <v>33</v>
      </c>
      <c r="B696" t="s">
        <v>43</v>
      </c>
      <c r="C696" t="s">
        <v>36</v>
      </c>
      <c r="D696" s="2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s="2" t="str">
        <f t="shared" si="10"/>
        <v>Medium</v>
      </c>
    </row>
    <row r="697" spans="1:36" x14ac:dyDescent="0.35">
      <c r="A697">
        <v>37</v>
      </c>
      <c r="B697" t="s">
        <v>35</v>
      </c>
      <c r="C697" t="s">
        <v>36</v>
      </c>
      <c r="D697" s="2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s="2" t="str">
        <f t="shared" si="10"/>
        <v>High</v>
      </c>
    </row>
    <row r="698" spans="1:36" x14ac:dyDescent="0.35">
      <c r="A698">
        <v>45</v>
      </c>
      <c r="B698" t="s">
        <v>43</v>
      </c>
      <c r="C698" t="s">
        <v>55</v>
      </c>
      <c r="D698" s="2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s="2" t="str">
        <f t="shared" si="10"/>
        <v>Low</v>
      </c>
    </row>
    <row r="699" spans="1:36" x14ac:dyDescent="0.35">
      <c r="A699">
        <v>29</v>
      </c>
      <c r="B699" t="s">
        <v>43</v>
      </c>
      <c r="C699" t="s">
        <v>44</v>
      </c>
      <c r="D699" s="2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s="2" t="str">
        <f t="shared" si="10"/>
        <v>Low</v>
      </c>
    </row>
    <row r="700" spans="1:36" x14ac:dyDescent="0.35">
      <c r="A700">
        <v>35</v>
      </c>
      <c r="B700" t="s">
        <v>43</v>
      </c>
      <c r="C700" t="s">
        <v>36</v>
      </c>
      <c r="D700" s="2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s="2" t="str">
        <f t="shared" si="10"/>
        <v>Low</v>
      </c>
    </row>
    <row r="701" spans="1:36" x14ac:dyDescent="0.35">
      <c r="A701">
        <v>52</v>
      </c>
      <c r="B701" t="s">
        <v>43</v>
      </c>
      <c r="C701" t="s">
        <v>36</v>
      </c>
      <c r="D701" s="2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s="2" t="str">
        <f t="shared" si="10"/>
        <v>High</v>
      </c>
    </row>
    <row r="702" spans="1:36" x14ac:dyDescent="0.35">
      <c r="A702">
        <v>58</v>
      </c>
      <c r="B702" t="s">
        <v>35</v>
      </c>
      <c r="C702" t="s">
        <v>36</v>
      </c>
      <c r="D702" s="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s="2" t="str">
        <f t="shared" si="10"/>
        <v>Low</v>
      </c>
    </row>
    <row r="703" spans="1:36" x14ac:dyDescent="0.35">
      <c r="A703">
        <v>53</v>
      </c>
      <c r="B703" t="s">
        <v>43</v>
      </c>
      <c r="C703" t="s">
        <v>36</v>
      </c>
      <c r="D703" s="2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s="2" t="str">
        <f t="shared" si="10"/>
        <v>High</v>
      </c>
    </row>
    <row r="704" spans="1:36" x14ac:dyDescent="0.35">
      <c r="A704">
        <v>30</v>
      </c>
      <c r="B704" t="s">
        <v>43</v>
      </c>
      <c r="C704" t="s">
        <v>36</v>
      </c>
      <c r="D704" s="2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s="2" t="str">
        <f t="shared" si="10"/>
        <v>Medium</v>
      </c>
    </row>
    <row r="705" spans="1:36" x14ac:dyDescent="0.35">
      <c r="A705">
        <v>38</v>
      </c>
      <c r="B705" t="s">
        <v>43</v>
      </c>
      <c r="C705" t="s">
        <v>55</v>
      </c>
      <c r="D705" s="2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s="2" t="str">
        <f t="shared" si="10"/>
        <v>Medium</v>
      </c>
    </row>
    <row r="706" spans="1:36" x14ac:dyDescent="0.35">
      <c r="A706">
        <v>35</v>
      </c>
      <c r="B706" t="s">
        <v>43</v>
      </c>
      <c r="C706" t="s">
        <v>36</v>
      </c>
      <c r="D706" s="2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s="2" t="str">
        <f t="shared" ref="AJ706:AJ769" si="11">IF(S706&lt;5000,"Low",IF(S706&lt;10000,"Medium","High"))</f>
        <v>Medium</v>
      </c>
    </row>
    <row r="707" spans="1:36" x14ac:dyDescent="0.35">
      <c r="A707">
        <v>39</v>
      </c>
      <c r="B707" t="s">
        <v>43</v>
      </c>
      <c r="C707" t="s">
        <v>36</v>
      </c>
      <c r="D707" s="2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s="2" t="str">
        <f t="shared" si="11"/>
        <v>Medium</v>
      </c>
    </row>
    <row r="708" spans="1:36" x14ac:dyDescent="0.35">
      <c r="A708">
        <v>40</v>
      </c>
      <c r="B708" t="s">
        <v>35</v>
      </c>
      <c r="C708" t="s">
        <v>55</v>
      </c>
      <c r="D708" s="2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s="2" t="str">
        <f t="shared" si="11"/>
        <v>High</v>
      </c>
    </row>
    <row r="709" spans="1:36" x14ac:dyDescent="0.35">
      <c r="A709">
        <v>47</v>
      </c>
      <c r="B709" t="s">
        <v>43</v>
      </c>
      <c r="C709" t="s">
        <v>44</v>
      </c>
      <c r="D709" s="2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s="2" t="str">
        <f t="shared" si="11"/>
        <v>Medium</v>
      </c>
    </row>
    <row r="710" spans="1:36" x14ac:dyDescent="0.35">
      <c r="A710">
        <v>36</v>
      </c>
      <c r="B710" t="s">
        <v>43</v>
      </c>
      <c r="C710" t="s">
        <v>55</v>
      </c>
      <c r="D710" s="2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s="2" t="str">
        <f t="shared" si="11"/>
        <v>Medium</v>
      </c>
    </row>
    <row r="711" spans="1:36" x14ac:dyDescent="0.35">
      <c r="A711">
        <v>31</v>
      </c>
      <c r="B711" t="s">
        <v>35</v>
      </c>
      <c r="C711" t="s">
        <v>55</v>
      </c>
      <c r="D711" s="2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s="2" t="str">
        <f t="shared" si="11"/>
        <v>Low</v>
      </c>
    </row>
    <row r="712" spans="1:36" x14ac:dyDescent="0.35">
      <c r="A712">
        <v>33</v>
      </c>
      <c r="B712" t="s">
        <v>43</v>
      </c>
      <c r="C712" t="s">
        <v>55</v>
      </c>
      <c r="D712" s="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s="2" t="str">
        <f t="shared" si="11"/>
        <v>High</v>
      </c>
    </row>
    <row r="713" spans="1:36" x14ac:dyDescent="0.35">
      <c r="A713">
        <v>29</v>
      </c>
      <c r="B713" t="s">
        <v>35</v>
      </c>
      <c r="C713" t="s">
        <v>36</v>
      </c>
      <c r="D713" s="2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s="2" t="str">
        <f t="shared" si="11"/>
        <v>Low</v>
      </c>
    </row>
    <row r="714" spans="1:36" x14ac:dyDescent="0.35">
      <c r="A714">
        <v>33</v>
      </c>
      <c r="B714" t="s">
        <v>43</v>
      </c>
      <c r="C714" t="s">
        <v>36</v>
      </c>
      <c r="D714" s="2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s="2" t="str">
        <f t="shared" si="11"/>
        <v>Low</v>
      </c>
    </row>
    <row r="715" spans="1:36" x14ac:dyDescent="0.35">
      <c r="A715">
        <v>45</v>
      </c>
      <c r="B715" t="s">
        <v>43</v>
      </c>
      <c r="C715" t="s">
        <v>36</v>
      </c>
      <c r="D715" s="2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s="2" t="str">
        <f t="shared" si="11"/>
        <v>Low</v>
      </c>
    </row>
    <row r="716" spans="1:36" x14ac:dyDescent="0.35">
      <c r="A716">
        <v>50</v>
      </c>
      <c r="B716" t="s">
        <v>43</v>
      </c>
      <c r="C716" t="s">
        <v>36</v>
      </c>
      <c r="D716" s="2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s="2" t="str">
        <f t="shared" si="11"/>
        <v>High</v>
      </c>
    </row>
    <row r="717" spans="1:36" x14ac:dyDescent="0.35">
      <c r="A717">
        <v>33</v>
      </c>
      <c r="B717" t="s">
        <v>43</v>
      </c>
      <c r="C717" t="s">
        <v>44</v>
      </c>
      <c r="D717" s="2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s="2" t="str">
        <f t="shared" si="11"/>
        <v>Medium</v>
      </c>
    </row>
    <row r="718" spans="1:36" x14ac:dyDescent="0.35">
      <c r="A718">
        <v>41</v>
      </c>
      <c r="B718" t="s">
        <v>43</v>
      </c>
      <c r="C718" t="s">
        <v>44</v>
      </c>
      <c r="D718" s="2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s="2" t="str">
        <f t="shared" si="11"/>
        <v>High</v>
      </c>
    </row>
    <row r="719" spans="1:36" x14ac:dyDescent="0.35">
      <c r="A719">
        <v>27</v>
      </c>
      <c r="B719" t="s">
        <v>43</v>
      </c>
      <c r="C719" t="s">
        <v>36</v>
      </c>
      <c r="D719" s="2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s="2" t="str">
        <f t="shared" si="11"/>
        <v>Low</v>
      </c>
    </row>
    <row r="720" spans="1:36" x14ac:dyDescent="0.35">
      <c r="A720">
        <v>45</v>
      </c>
      <c r="B720" t="s">
        <v>43</v>
      </c>
      <c r="C720" t="s">
        <v>55</v>
      </c>
      <c r="D720" s="2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s="2" t="str">
        <f t="shared" si="11"/>
        <v>Low</v>
      </c>
    </row>
    <row r="721" spans="1:36" x14ac:dyDescent="0.35">
      <c r="A721">
        <v>47</v>
      </c>
      <c r="B721" t="s">
        <v>43</v>
      </c>
      <c r="C721" t="s">
        <v>36</v>
      </c>
      <c r="D721" s="2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s="2" t="str">
        <f t="shared" si="11"/>
        <v>Low</v>
      </c>
    </row>
    <row r="722" spans="1:36" x14ac:dyDescent="0.35">
      <c r="A722">
        <v>30</v>
      </c>
      <c r="B722" t="s">
        <v>35</v>
      </c>
      <c r="C722" t="s">
        <v>36</v>
      </c>
      <c r="D722" s="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s="2" t="str">
        <f t="shared" si="11"/>
        <v>Low</v>
      </c>
    </row>
    <row r="723" spans="1:36" x14ac:dyDescent="0.35">
      <c r="A723">
        <v>50</v>
      </c>
      <c r="B723" t="s">
        <v>43</v>
      </c>
      <c r="C723" t="s">
        <v>36</v>
      </c>
      <c r="D723" s="2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s="2" t="str">
        <f t="shared" si="11"/>
        <v>High</v>
      </c>
    </row>
    <row r="724" spans="1:36" x14ac:dyDescent="0.35">
      <c r="A724">
        <v>38</v>
      </c>
      <c r="B724" t="s">
        <v>43</v>
      </c>
      <c r="C724" t="s">
        <v>44</v>
      </c>
      <c r="D724" s="2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s="2" t="str">
        <f t="shared" si="11"/>
        <v>Low</v>
      </c>
    </row>
    <row r="725" spans="1:36" x14ac:dyDescent="0.35">
      <c r="A725">
        <v>46</v>
      </c>
      <c r="B725" t="s">
        <v>43</v>
      </c>
      <c r="C725" t="s">
        <v>36</v>
      </c>
      <c r="D725" s="2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s="2" t="str">
        <f t="shared" si="11"/>
        <v>High</v>
      </c>
    </row>
    <row r="726" spans="1:36" x14ac:dyDescent="0.35">
      <c r="A726">
        <v>24</v>
      </c>
      <c r="B726" t="s">
        <v>43</v>
      </c>
      <c r="C726" t="s">
        <v>36</v>
      </c>
      <c r="D726" s="2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s="2" t="str">
        <f t="shared" si="11"/>
        <v>Low</v>
      </c>
    </row>
    <row r="727" spans="1:36" x14ac:dyDescent="0.35">
      <c r="A727">
        <v>35</v>
      </c>
      <c r="B727" t="s">
        <v>35</v>
      </c>
      <c r="C727" t="s">
        <v>36</v>
      </c>
      <c r="D727" s="2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s="2" t="str">
        <f t="shared" si="11"/>
        <v>Low</v>
      </c>
    </row>
    <row r="728" spans="1:36" x14ac:dyDescent="0.35">
      <c r="A728">
        <v>31</v>
      </c>
      <c r="B728" t="s">
        <v>43</v>
      </c>
      <c r="C728" t="s">
        <v>44</v>
      </c>
      <c r="D728" s="2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s="2" t="str">
        <f t="shared" si="11"/>
        <v>Low</v>
      </c>
    </row>
    <row r="729" spans="1:36" x14ac:dyDescent="0.35">
      <c r="A729">
        <v>18</v>
      </c>
      <c r="B729" t="s">
        <v>43</v>
      </c>
      <c r="C729" t="s">
        <v>55</v>
      </c>
      <c r="D729" s="2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s="2" t="str">
        <f t="shared" si="11"/>
        <v>Low</v>
      </c>
    </row>
    <row r="730" spans="1:36" x14ac:dyDescent="0.35">
      <c r="A730">
        <v>54</v>
      </c>
      <c r="B730" t="s">
        <v>43</v>
      </c>
      <c r="C730" t="s">
        <v>36</v>
      </c>
      <c r="D730" s="2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s="2" t="str">
        <f t="shared" si="11"/>
        <v>High</v>
      </c>
    </row>
    <row r="731" spans="1:36" x14ac:dyDescent="0.35">
      <c r="A731">
        <v>35</v>
      </c>
      <c r="B731" t="s">
        <v>43</v>
      </c>
      <c r="C731" t="s">
        <v>36</v>
      </c>
      <c r="D731" s="2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s="2" t="str">
        <f t="shared" si="11"/>
        <v>High</v>
      </c>
    </row>
    <row r="732" spans="1:36" x14ac:dyDescent="0.35">
      <c r="A732">
        <v>30</v>
      </c>
      <c r="B732" t="s">
        <v>43</v>
      </c>
      <c r="C732" t="s">
        <v>36</v>
      </c>
      <c r="D732" s="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s="2" t="str">
        <f t="shared" si="11"/>
        <v>High</v>
      </c>
    </row>
    <row r="733" spans="1:36" x14ac:dyDescent="0.35">
      <c r="A733">
        <v>20</v>
      </c>
      <c r="B733" t="s">
        <v>35</v>
      </c>
      <c r="C733" t="s">
        <v>36</v>
      </c>
      <c r="D733" s="2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s="2" t="str">
        <f t="shared" si="11"/>
        <v>Low</v>
      </c>
    </row>
    <row r="734" spans="1:36" x14ac:dyDescent="0.35">
      <c r="A734">
        <v>30</v>
      </c>
      <c r="B734" t="s">
        <v>35</v>
      </c>
      <c r="C734" t="s">
        <v>44</v>
      </c>
      <c r="D734" s="2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s="2" t="str">
        <f t="shared" si="11"/>
        <v>Low</v>
      </c>
    </row>
    <row r="735" spans="1:36" x14ac:dyDescent="0.35">
      <c r="A735">
        <v>26</v>
      </c>
      <c r="B735" t="s">
        <v>43</v>
      </c>
      <c r="C735" t="s">
        <v>36</v>
      </c>
      <c r="D735" s="2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s="2" t="str">
        <f t="shared" si="11"/>
        <v>Medium</v>
      </c>
    </row>
    <row r="736" spans="1:36" x14ac:dyDescent="0.35">
      <c r="A736">
        <v>22</v>
      </c>
      <c r="B736" t="s">
        <v>43</v>
      </c>
      <c r="C736" t="s">
        <v>36</v>
      </c>
      <c r="D736" s="2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s="2" t="str">
        <f t="shared" si="11"/>
        <v>Low</v>
      </c>
    </row>
    <row r="737" spans="1:36" x14ac:dyDescent="0.35">
      <c r="A737">
        <v>48</v>
      </c>
      <c r="B737" t="s">
        <v>43</v>
      </c>
      <c r="C737" t="s">
        <v>36</v>
      </c>
      <c r="D737" s="2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s="2" t="str">
        <f t="shared" si="11"/>
        <v>Low</v>
      </c>
    </row>
    <row r="738" spans="1:36" x14ac:dyDescent="0.35">
      <c r="A738">
        <v>48</v>
      </c>
      <c r="B738" t="s">
        <v>43</v>
      </c>
      <c r="C738" t="s">
        <v>36</v>
      </c>
      <c r="D738" s="2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s="2" t="str">
        <f t="shared" si="11"/>
        <v>High</v>
      </c>
    </row>
    <row r="739" spans="1:36" x14ac:dyDescent="0.35">
      <c r="A739">
        <v>41</v>
      </c>
      <c r="B739" t="s">
        <v>43</v>
      </c>
      <c r="C739" t="s">
        <v>36</v>
      </c>
      <c r="D739" s="2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s="2" t="str">
        <f t="shared" si="11"/>
        <v>Medium</v>
      </c>
    </row>
    <row r="740" spans="1:36" x14ac:dyDescent="0.35">
      <c r="A740">
        <v>39</v>
      </c>
      <c r="B740" t="s">
        <v>43</v>
      </c>
      <c r="C740" t="s">
        <v>36</v>
      </c>
      <c r="D740" s="2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s="2" t="str">
        <f t="shared" si="11"/>
        <v>High</v>
      </c>
    </row>
    <row r="741" spans="1:36" x14ac:dyDescent="0.35">
      <c r="A741">
        <v>27</v>
      </c>
      <c r="B741" t="s">
        <v>43</v>
      </c>
      <c r="C741" t="s">
        <v>36</v>
      </c>
      <c r="D741" s="2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s="2" t="str">
        <f t="shared" si="11"/>
        <v>Low</v>
      </c>
    </row>
    <row r="742" spans="1:36" x14ac:dyDescent="0.35">
      <c r="A742">
        <v>35</v>
      </c>
      <c r="B742" t="s">
        <v>43</v>
      </c>
      <c r="C742" t="s">
        <v>36</v>
      </c>
      <c r="D742" s="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s="2" t="str">
        <f t="shared" si="11"/>
        <v>Low</v>
      </c>
    </row>
    <row r="743" spans="1:36" x14ac:dyDescent="0.35">
      <c r="A743">
        <v>42</v>
      </c>
      <c r="B743" t="s">
        <v>43</v>
      </c>
      <c r="C743" t="s">
        <v>36</v>
      </c>
      <c r="D743" s="2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s="2" t="str">
        <f t="shared" si="11"/>
        <v>High</v>
      </c>
    </row>
    <row r="744" spans="1:36" x14ac:dyDescent="0.35">
      <c r="A744">
        <v>50</v>
      </c>
      <c r="B744" t="s">
        <v>43</v>
      </c>
      <c r="C744" t="s">
        <v>36</v>
      </c>
      <c r="D744" s="2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s="2" t="str">
        <f t="shared" si="11"/>
        <v>Low</v>
      </c>
    </row>
    <row r="745" spans="1:36" x14ac:dyDescent="0.35">
      <c r="A745">
        <v>59</v>
      </c>
      <c r="B745" t="s">
        <v>43</v>
      </c>
      <c r="C745" t="s">
        <v>36</v>
      </c>
      <c r="D745" s="2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s="2" t="str">
        <f t="shared" si="11"/>
        <v>High</v>
      </c>
    </row>
    <row r="746" spans="1:36" x14ac:dyDescent="0.35">
      <c r="A746">
        <v>37</v>
      </c>
      <c r="B746" t="s">
        <v>35</v>
      </c>
      <c r="C746" t="s">
        <v>36</v>
      </c>
      <c r="D746" s="2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s="2" t="str">
        <f t="shared" si="11"/>
        <v>Low</v>
      </c>
    </row>
    <row r="747" spans="1:36" x14ac:dyDescent="0.35">
      <c r="A747">
        <v>55</v>
      </c>
      <c r="B747" t="s">
        <v>43</v>
      </c>
      <c r="C747" t="s">
        <v>44</v>
      </c>
      <c r="D747" s="2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s="2" t="str">
        <f t="shared" si="11"/>
        <v>Medium</v>
      </c>
    </row>
    <row r="748" spans="1:36" x14ac:dyDescent="0.35">
      <c r="A748">
        <v>41</v>
      </c>
      <c r="B748" t="s">
        <v>43</v>
      </c>
      <c r="C748" t="s">
        <v>55</v>
      </c>
      <c r="D748" s="2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s="2" t="str">
        <f t="shared" si="11"/>
        <v>High</v>
      </c>
    </row>
    <row r="749" spans="1:36" x14ac:dyDescent="0.35">
      <c r="A749">
        <v>38</v>
      </c>
      <c r="B749" t="s">
        <v>43</v>
      </c>
      <c r="C749" t="s">
        <v>36</v>
      </c>
      <c r="D749" s="2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s="2" t="str">
        <f t="shared" si="11"/>
        <v>Medium</v>
      </c>
    </row>
    <row r="750" spans="1:36" x14ac:dyDescent="0.35">
      <c r="A750">
        <v>26</v>
      </c>
      <c r="B750" t="s">
        <v>35</v>
      </c>
      <c r="C750" t="s">
        <v>55</v>
      </c>
      <c r="D750" s="2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s="2" t="str">
        <f t="shared" si="11"/>
        <v>Low</v>
      </c>
    </row>
    <row r="751" spans="1:36" x14ac:dyDescent="0.35">
      <c r="A751">
        <v>52</v>
      </c>
      <c r="B751" t="s">
        <v>35</v>
      </c>
      <c r="C751" t="s">
        <v>36</v>
      </c>
      <c r="D751" s="2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s="2" t="str">
        <f t="shared" si="11"/>
        <v>High</v>
      </c>
    </row>
    <row r="752" spans="1:36" x14ac:dyDescent="0.35">
      <c r="A752">
        <v>44</v>
      </c>
      <c r="B752" t="s">
        <v>43</v>
      </c>
      <c r="C752" t="s">
        <v>36</v>
      </c>
      <c r="D752" s="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s="2" t="str">
        <f t="shared" si="11"/>
        <v>High</v>
      </c>
    </row>
    <row r="753" spans="1:36" x14ac:dyDescent="0.35">
      <c r="A753">
        <v>50</v>
      </c>
      <c r="B753" t="s">
        <v>43</v>
      </c>
      <c r="C753" t="s">
        <v>55</v>
      </c>
      <c r="D753" s="2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s="2" t="str">
        <f t="shared" si="11"/>
        <v>Medium</v>
      </c>
    </row>
    <row r="754" spans="1:36" x14ac:dyDescent="0.35">
      <c r="A754">
        <v>36</v>
      </c>
      <c r="B754" t="s">
        <v>35</v>
      </c>
      <c r="C754" t="s">
        <v>36</v>
      </c>
      <c r="D754" s="2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s="2" t="str">
        <f t="shared" si="11"/>
        <v>Low</v>
      </c>
    </row>
    <row r="755" spans="1:36" x14ac:dyDescent="0.35">
      <c r="A755">
        <v>39</v>
      </c>
      <c r="B755" t="s">
        <v>43</v>
      </c>
      <c r="C755" t="s">
        <v>44</v>
      </c>
      <c r="D755" s="2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s="2" t="str">
        <f t="shared" si="11"/>
        <v>High</v>
      </c>
    </row>
    <row r="756" spans="1:36" x14ac:dyDescent="0.35">
      <c r="A756">
        <v>33</v>
      </c>
      <c r="B756" t="s">
        <v>43</v>
      </c>
      <c r="C756" t="s">
        <v>55</v>
      </c>
      <c r="D756" s="2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s="2" t="str">
        <f t="shared" si="11"/>
        <v>Low</v>
      </c>
    </row>
    <row r="757" spans="1:36" x14ac:dyDescent="0.35">
      <c r="A757">
        <v>45</v>
      </c>
      <c r="B757" t="s">
        <v>43</v>
      </c>
      <c r="C757" t="s">
        <v>36</v>
      </c>
      <c r="D757" s="2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s="2" t="str">
        <f t="shared" si="11"/>
        <v>High</v>
      </c>
    </row>
    <row r="758" spans="1:36" x14ac:dyDescent="0.35">
      <c r="A758">
        <v>32</v>
      </c>
      <c r="B758" t="s">
        <v>43</v>
      </c>
      <c r="C758" t="s">
        <v>55</v>
      </c>
      <c r="D758" s="2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s="2" t="str">
        <f t="shared" si="11"/>
        <v>Low</v>
      </c>
    </row>
    <row r="759" spans="1:36" x14ac:dyDescent="0.35">
      <c r="A759">
        <v>34</v>
      </c>
      <c r="B759" t="s">
        <v>43</v>
      </c>
      <c r="C759" t="s">
        <v>36</v>
      </c>
      <c r="D759" s="2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s="2" t="str">
        <f t="shared" si="11"/>
        <v>Medium</v>
      </c>
    </row>
    <row r="760" spans="1:36" x14ac:dyDescent="0.35">
      <c r="A760">
        <v>59</v>
      </c>
      <c r="B760" t="s">
        <v>43</v>
      </c>
      <c r="C760" t="s">
        <v>36</v>
      </c>
      <c r="D760" s="2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s="2" t="str">
        <f t="shared" si="11"/>
        <v>High</v>
      </c>
    </row>
    <row r="761" spans="1:36" x14ac:dyDescent="0.35">
      <c r="A761">
        <v>45</v>
      </c>
      <c r="B761" t="s">
        <v>43</v>
      </c>
      <c r="C761" t="s">
        <v>36</v>
      </c>
      <c r="D761" s="2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s="2" t="str">
        <f t="shared" si="11"/>
        <v>Low</v>
      </c>
    </row>
    <row r="762" spans="1:36" x14ac:dyDescent="0.35">
      <c r="A762">
        <v>53</v>
      </c>
      <c r="B762" t="s">
        <v>43</v>
      </c>
      <c r="C762" t="s">
        <v>44</v>
      </c>
      <c r="D762" s="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s="2" t="str">
        <f t="shared" si="11"/>
        <v>Medium</v>
      </c>
    </row>
    <row r="763" spans="1:36" x14ac:dyDescent="0.35">
      <c r="A763">
        <v>36</v>
      </c>
      <c r="B763" t="s">
        <v>35</v>
      </c>
      <c r="C763" t="s">
        <v>36</v>
      </c>
      <c r="D763" s="2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s="2" t="str">
        <f t="shared" si="11"/>
        <v>Low</v>
      </c>
    </row>
    <row r="764" spans="1:36" x14ac:dyDescent="0.35">
      <c r="A764">
        <v>26</v>
      </c>
      <c r="B764" t="s">
        <v>35</v>
      </c>
      <c r="C764" t="s">
        <v>44</v>
      </c>
      <c r="D764" s="2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s="2" t="str">
        <f t="shared" si="11"/>
        <v>Low</v>
      </c>
    </row>
    <row r="765" spans="1:36" x14ac:dyDescent="0.35">
      <c r="A765">
        <v>34</v>
      </c>
      <c r="B765" t="s">
        <v>43</v>
      </c>
      <c r="C765" t="s">
        <v>36</v>
      </c>
      <c r="D765" s="2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s="2" t="str">
        <f t="shared" si="11"/>
        <v>Low</v>
      </c>
    </row>
    <row r="766" spans="1:36" x14ac:dyDescent="0.35">
      <c r="A766">
        <v>28</v>
      </c>
      <c r="B766" t="s">
        <v>43</v>
      </c>
      <c r="C766" t="s">
        <v>36</v>
      </c>
      <c r="D766" s="2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s="2" t="str">
        <f t="shared" si="11"/>
        <v>Low</v>
      </c>
    </row>
    <row r="767" spans="1:36" x14ac:dyDescent="0.35">
      <c r="A767">
        <v>38</v>
      </c>
      <c r="B767" t="s">
        <v>43</v>
      </c>
      <c r="C767" t="s">
        <v>44</v>
      </c>
      <c r="D767" s="2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s="2" t="str">
        <f t="shared" si="11"/>
        <v>Low</v>
      </c>
    </row>
    <row r="768" spans="1:36" x14ac:dyDescent="0.35">
      <c r="A768">
        <v>50</v>
      </c>
      <c r="B768" t="s">
        <v>43</v>
      </c>
      <c r="C768" t="s">
        <v>36</v>
      </c>
      <c r="D768" s="2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s="2" t="str">
        <f t="shared" si="11"/>
        <v>High</v>
      </c>
    </row>
    <row r="769" spans="1:36" x14ac:dyDescent="0.35">
      <c r="A769">
        <v>37</v>
      </c>
      <c r="B769" t="s">
        <v>43</v>
      </c>
      <c r="C769" t="s">
        <v>36</v>
      </c>
      <c r="D769" s="2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s="2" t="str">
        <f t="shared" si="11"/>
        <v>Low</v>
      </c>
    </row>
    <row r="770" spans="1:36" x14ac:dyDescent="0.35">
      <c r="A770">
        <v>40</v>
      </c>
      <c r="B770" t="s">
        <v>43</v>
      </c>
      <c r="C770" t="s">
        <v>36</v>
      </c>
      <c r="D770" s="2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s="2" t="str">
        <f t="shared" ref="AJ770:AJ833" si="12">IF(S770&lt;5000,"Low",IF(S770&lt;10000,"Medium","High"))</f>
        <v>Medium</v>
      </c>
    </row>
    <row r="771" spans="1:36" x14ac:dyDescent="0.35">
      <c r="A771">
        <v>26</v>
      </c>
      <c r="B771" t="s">
        <v>43</v>
      </c>
      <c r="C771" t="s">
        <v>44</v>
      </c>
      <c r="D771" s="2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s="2" t="str">
        <f t="shared" si="12"/>
        <v>Low</v>
      </c>
    </row>
    <row r="772" spans="1:36" x14ac:dyDescent="0.35">
      <c r="A772">
        <v>46</v>
      </c>
      <c r="B772" t="s">
        <v>43</v>
      </c>
      <c r="C772" t="s">
        <v>36</v>
      </c>
      <c r="D772" s="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s="2" t="str">
        <f t="shared" si="12"/>
        <v>High</v>
      </c>
    </row>
    <row r="773" spans="1:36" x14ac:dyDescent="0.35">
      <c r="A773">
        <v>54</v>
      </c>
      <c r="B773" t="s">
        <v>43</v>
      </c>
      <c r="C773" t="s">
        <v>36</v>
      </c>
      <c r="D773" s="2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s="2" t="str">
        <f t="shared" si="12"/>
        <v>High</v>
      </c>
    </row>
    <row r="774" spans="1:36" x14ac:dyDescent="0.35">
      <c r="A774">
        <v>56</v>
      </c>
      <c r="B774" t="s">
        <v>43</v>
      </c>
      <c r="C774" t="s">
        <v>44</v>
      </c>
      <c r="D774" s="2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s="2" t="str">
        <f t="shared" si="12"/>
        <v>Low</v>
      </c>
    </row>
    <row r="775" spans="1:36" x14ac:dyDescent="0.35">
      <c r="A775">
        <v>36</v>
      </c>
      <c r="B775" t="s">
        <v>43</v>
      </c>
      <c r="C775" t="s">
        <v>36</v>
      </c>
      <c r="D775" s="2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s="2" t="str">
        <f t="shared" si="12"/>
        <v>Medium</v>
      </c>
    </row>
    <row r="776" spans="1:36" x14ac:dyDescent="0.35">
      <c r="A776">
        <v>55</v>
      </c>
      <c r="B776" t="s">
        <v>43</v>
      </c>
      <c r="C776" t="s">
        <v>55</v>
      </c>
      <c r="D776" s="2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s="2" t="str">
        <f t="shared" si="12"/>
        <v>High</v>
      </c>
    </row>
    <row r="777" spans="1:36" x14ac:dyDescent="0.35">
      <c r="A777">
        <v>43</v>
      </c>
      <c r="B777" t="s">
        <v>43</v>
      </c>
      <c r="C777" t="s">
        <v>36</v>
      </c>
      <c r="D777" s="2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s="2" t="str">
        <f t="shared" si="12"/>
        <v>High</v>
      </c>
    </row>
    <row r="778" spans="1:36" x14ac:dyDescent="0.35">
      <c r="A778">
        <v>20</v>
      </c>
      <c r="B778" t="s">
        <v>35</v>
      </c>
      <c r="C778" t="s">
        <v>44</v>
      </c>
      <c r="D778" s="2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s="2" t="str">
        <f t="shared" si="12"/>
        <v>Low</v>
      </c>
    </row>
    <row r="779" spans="1:36" x14ac:dyDescent="0.35">
      <c r="A779">
        <v>21</v>
      </c>
      <c r="B779" t="s">
        <v>35</v>
      </c>
      <c r="C779" t="s">
        <v>36</v>
      </c>
      <c r="D779" s="2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s="2" t="str">
        <f t="shared" si="12"/>
        <v>Low</v>
      </c>
    </row>
    <row r="780" spans="1:36" x14ac:dyDescent="0.35">
      <c r="A780">
        <v>46</v>
      </c>
      <c r="B780" t="s">
        <v>43</v>
      </c>
      <c r="C780" t="s">
        <v>36</v>
      </c>
      <c r="D780" s="2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s="2" t="str">
        <f t="shared" si="12"/>
        <v>Low</v>
      </c>
    </row>
    <row r="781" spans="1:36" x14ac:dyDescent="0.35">
      <c r="A781">
        <v>51</v>
      </c>
      <c r="B781" t="s">
        <v>35</v>
      </c>
      <c r="C781" t="s">
        <v>36</v>
      </c>
      <c r="D781" s="2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s="2" t="str">
        <f t="shared" si="12"/>
        <v>Low</v>
      </c>
    </row>
    <row r="782" spans="1:36" x14ac:dyDescent="0.35">
      <c r="A782">
        <v>28</v>
      </c>
      <c r="B782" t="s">
        <v>35</v>
      </c>
      <c r="C782" t="s">
        <v>55</v>
      </c>
      <c r="D782" s="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s="2" t="str">
        <f t="shared" si="12"/>
        <v>Medium</v>
      </c>
    </row>
    <row r="783" spans="1:36" x14ac:dyDescent="0.35">
      <c r="A783">
        <v>26</v>
      </c>
      <c r="B783" t="s">
        <v>43</v>
      </c>
      <c r="C783" t="s">
        <v>36</v>
      </c>
      <c r="D783" s="2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s="2" t="str">
        <f t="shared" si="12"/>
        <v>Low</v>
      </c>
    </row>
    <row r="784" spans="1:36" x14ac:dyDescent="0.35">
      <c r="A784">
        <v>30</v>
      </c>
      <c r="B784" t="s">
        <v>43</v>
      </c>
      <c r="C784" t="s">
        <v>36</v>
      </c>
      <c r="D784" s="2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s="2" t="str">
        <f t="shared" si="12"/>
        <v>Medium</v>
      </c>
    </row>
    <row r="785" spans="1:36" x14ac:dyDescent="0.35">
      <c r="A785">
        <v>41</v>
      </c>
      <c r="B785" t="s">
        <v>43</v>
      </c>
      <c r="C785" t="s">
        <v>36</v>
      </c>
      <c r="D785" s="2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s="2" t="str">
        <f t="shared" si="12"/>
        <v>Low</v>
      </c>
    </row>
    <row r="786" spans="1:36" x14ac:dyDescent="0.35">
      <c r="A786">
        <v>38</v>
      </c>
      <c r="B786" t="s">
        <v>43</v>
      </c>
      <c r="C786" t="s">
        <v>36</v>
      </c>
      <c r="D786" s="2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s="2" t="str">
        <f t="shared" si="12"/>
        <v>Medium</v>
      </c>
    </row>
    <row r="787" spans="1:36" x14ac:dyDescent="0.35">
      <c r="A787">
        <v>40</v>
      </c>
      <c r="B787" t="s">
        <v>43</v>
      </c>
      <c r="C787" t="s">
        <v>36</v>
      </c>
      <c r="D787" s="2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s="2" t="str">
        <f t="shared" si="12"/>
        <v>High</v>
      </c>
    </row>
    <row r="788" spans="1:36" x14ac:dyDescent="0.35">
      <c r="A788">
        <v>27</v>
      </c>
      <c r="B788" t="s">
        <v>43</v>
      </c>
      <c r="C788" t="s">
        <v>55</v>
      </c>
      <c r="D788" s="2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s="2" t="str">
        <f t="shared" si="12"/>
        <v>Low</v>
      </c>
    </row>
    <row r="789" spans="1:36" x14ac:dyDescent="0.35">
      <c r="A789">
        <v>55</v>
      </c>
      <c r="B789" t="s">
        <v>43</v>
      </c>
      <c r="C789" t="s">
        <v>44</v>
      </c>
      <c r="D789" s="2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s="2" t="str">
        <f t="shared" si="12"/>
        <v>High</v>
      </c>
    </row>
    <row r="790" spans="1:36" x14ac:dyDescent="0.35">
      <c r="A790">
        <v>28</v>
      </c>
      <c r="B790" t="s">
        <v>43</v>
      </c>
      <c r="C790" t="s">
        <v>36</v>
      </c>
      <c r="D790" s="2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s="2" t="str">
        <f t="shared" si="12"/>
        <v>Low</v>
      </c>
    </row>
    <row r="791" spans="1:36" x14ac:dyDescent="0.35">
      <c r="A791">
        <v>44</v>
      </c>
      <c r="B791" t="s">
        <v>35</v>
      </c>
      <c r="C791" t="s">
        <v>36</v>
      </c>
      <c r="D791" s="2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s="2" t="str">
        <f t="shared" si="12"/>
        <v>High</v>
      </c>
    </row>
    <row r="792" spans="1:36" x14ac:dyDescent="0.35">
      <c r="A792">
        <v>33</v>
      </c>
      <c r="B792" t="s">
        <v>43</v>
      </c>
      <c r="C792" t="s">
        <v>36</v>
      </c>
      <c r="D792" s="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s="2" t="str">
        <f t="shared" si="12"/>
        <v>Medium</v>
      </c>
    </row>
    <row r="793" spans="1:36" x14ac:dyDescent="0.35">
      <c r="A793">
        <v>35</v>
      </c>
      <c r="B793" t="s">
        <v>35</v>
      </c>
      <c r="C793" t="s">
        <v>36</v>
      </c>
      <c r="D793" s="2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s="2" t="str">
        <f t="shared" si="12"/>
        <v>Medium</v>
      </c>
    </row>
    <row r="794" spans="1:36" x14ac:dyDescent="0.35">
      <c r="A794">
        <v>33</v>
      </c>
      <c r="B794" t="s">
        <v>35</v>
      </c>
      <c r="C794" t="s">
        <v>44</v>
      </c>
      <c r="D794" s="2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s="2" t="str">
        <f t="shared" si="12"/>
        <v>Low</v>
      </c>
    </row>
    <row r="795" spans="1:36" x14ac:dyDescent="0.35">
      <c r="A795">
        <v>28</v>
      </c>
      <c r="B795" t="s">
        <v>43</v>
      </c>
      <c r="C795" t="s">
        <v>36</v>
      </c>
      <c r="D795" s="2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s="2" t="str">
        <f t="shared" si="12"/>
        <v>Low</v>
      </c>
    </row>
    <row r="796" spans="1:36" x14ac:dyDescent="0.35">
      <c r="A796">
        <v>34</v>
      </c>
      <c r="B796" t="s">
        <v>43</v>
      </c>
      <c r="C796" t="s">
        <v>44</v>
      </c>
      <c r="D796" s="2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s="2" t="str">
        <f t="shared" si="12"/>
        <v>Medium</v>
      </c>
    </row>
    <row r="797" spans="1:36" x14ac:dyDescent="0.35">
      <c r="A797">
        <v>37</v>
      </c>
      <c r="B797" t="s">
        <v>43</v>
      </c>
      <c r="C797" t="s">
        <v>36</v>
      </c>
      <c r="D797" s="2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s="2" t="str">
        <f t="shared" si="12"/>
        <v>Medium</v>
      </c>
    </row>
    <row r="798" spans="1:36" x14ac:dyDescent="0.35">
      <c r="A798">
        <v>25</v>
      </c>
      <c r="B798" t="s">
        <v>35</v>
      </c>
      <c r="C798" t="s">
        <v>36</v>
      </c>
      <c r="D798" s="2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s="2" t="str">
        <f t="shared" si="12"/>
        <v>Low</v>
      </c>
    </row>
    <row r="799" spans="1:36" x14ac:dyDescent="0.35">
      <c r="A799">
        <v>26</v>
      </c>
      <c r="B799" t="s">
        <v>35</v>
      </c>
      <c r="C799" t="s">
        <v>36</v>
      </c>
      <c r="D799" s="2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s="2" t="str">
        <f t="shared" si="12"/>
        <v>Low</v>
      </c>
    </row>
    <row r="800" spans="1:36" x14ac:dyDescent="0.35">
      <c r="A800">
        <v>33</v>
      </c>
      <c r="B800" t="s">
        <v>35</v>
      </c>
      <c r="C800" t="s">
        <v>36</v>
      </c>
      <c r="D800" s="2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s="2" t="str">
        <f t="shared" si="12"/>
        <v>Low</v>
      </c>
    </row>
    <row r="801" spans="1:36" x14ac:dyDescent="0.35">
      <c r="A801">
        <v>42</v>
      </c>
      <c r="B801" t="s">
        <v>43</v>
      </c>
      <c r="C801" t="s">
        <v>36</v>
      </c>
      <c r="D801" s="2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s="2" t="str">
        <f t="shared" si="12"/>
        <v>High</v>
      </c>
    </row>
    <row r="802" spans="1:36" x14ac:dyDescent="0.35">
      <c r="A802">
        <v>28</v>
      </c>
      <c r="B802" t="s">
        <v>35</v>
      </c>
      <c r="C802" t="s">
        <v>44</v>
      </c>
      <c r="D802" s="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s="2" t="str">
        <f t="shared" si="12"/>
        <v>Low</v>
      </c>
    </row>
    <row r="803" spans="1:36" x14ac:dyDescent="0.35">
      <c r="A803">
        <v>50</v>
      </c>
      <c r="B803" t="s">
        <v>35</v>
      </c>
      <c r="C803" t="s">
        <v>44</v>
      </c>
      <c r="D803" s="2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s="2" t="str">
        <f t="shared" si="12"/>
        <v>Low</v>
      </c>
    </row>
    <row r="804" spans="1:36" x14ac:dyDescent="0.35">
      <c r="A804">
        <v>33</v>
      </c>
      <c r="B804" t="s">
        <v>43</v>
      </c>
      <c r="C804" t="s">
        <v>44</v>
      </c>
      <c r="D804" s="2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s="2" t="str">
        <f t="shared" si="12"/>
        <v>Low</v>
      </c>
    </row>
    <row r="805" spans="1:36" x14ac:dyDescent="0.35">
      <c r="A805">
        <v>34</v>
      </c>
      <c r="B805" t="s">
        <v>43</v>
      </c>
      <c r="C805" t="s">
        <v>55</v>
      </c>
      <c r="D805" s="2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s="2" t="str">
        <f t="shared" si="12"/>
        <v>Low</v>
      </c>
    </row>
    <row r="806" spans="1:36" x14ac:dyDescent="0.35">
      <c r="A806">
        <v>48</v>
      </c>
      <c r="B806" t="s">
        <v>43</v>
      </c>
      <c r="C806" t="s">
        <v>55</v>
      </c>
      <c r="D806" s="2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s="2" t="str">
        <f t="shared" si="12"/>
        <v>High</v>
      </c>
    </row>
    <row r="807" spans="1:36" x14ac:dyDescent="0.35">
      <c r="A807">
        <v>45</v>
      </c>
      <c r="B807" t="s">
        <v>43</v>
      </c>
      <c r="C807" t="s">
        <v>55</v>
      </c>
      <c r="D807" s="2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s="2" t="str">
        <f t="shared" si="12"/>
        <v>Medium</v>
      </c>
    </row>
    <row r="808" spans="1:36" x14ac:dyDescent="0.35">
      <c r="A808">
        <v>52</v>
      </c>
      <c r="B808" t="s">
        <v>43</v>
      </c>
      <c r="C808" t="s">
        <v>36</v>
      </c>
      <c r="D808" s="2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s="2" t="str">
        <f t="shared" si="12"/>
        <v>High</v>
      </c>
    </row>
    <row r="809" spans="1:36" x14ac:dyDescent="0.35">
      <c r="A809">
        <v>38</v>
      </c>
      <c r="B809" t="s">
        <v>43</v>
      </c>
      <c r="C809" t="s">
        <v>36</v>
      </c>
      <c r="D809" s="2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s="2" t="str">
        <f t="shared" si="12"/>
        <v>Medium</v>
      </c>
    </row>
    <row r="810" spans="1:36" x14ac:dyDescent="0.35">
      <c r="A810">
        <v>29</v>
      </c>
      <c r="B810" t="s">
        <v>43</v>
      </c>
      <c r="C810" t="s">
        <v>36</v>
      </c>
      <c r="D810" s="2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s="2" t="str">
        <f t="shared" si="12"/>
        <v>Low</v>
      </c>
    </row>
    <row r="811" spans="1:36" x14ac:dyDescent="0.35">
      <c r="A811">
        <v>28</v>
      </c>
      <c r="B811" t="s">
        <v>43</v>
      </c>
      <c r="C811" t="s">
        <v>36</v>
      </c>
      <c r="D811" s="2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s="2" t="str">
        <f t="shared" si="12"/>
        <v>Medium</v>
      </c>
    </row>
    <row r="812" spans="1:36" x14ac:dyDescent="0.35">
      <c r="A812">
        <v>46</v>
      </c>
      <c r="B812" t="s">
        <v>43</v>
      </c>
      <c r="C812" t="s">
        <v>36</v>
      </c>
      <c r="D812" s="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s="2" t="str">
        <f t="shared" si="12"/>
        <v>High</v>
      </c>
    </row>
    <row r="813" spans="1:36" x14ac:dyDescent="0.35">
      <c r="A813">
        <v>38</v>
      </c>
      <c r="B813" t="s">
        <v>43</v>
      </c>
      <c r="C813" t="s">
        <v>36</v>
      </c>
      <c r="D813" s="2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s="2" t="str">
        <f t="shared" si="12"/>
        <v>Medium</v>
      </c>
    </row>
    <row r="814" spans="1:36" x14ac:dyDescent="0.35">
      <c r="A814">
        <v>43</v>
      </c>
      <c r="B814" t="s">
        <v>43</v>
      </c>
      <c r="C814" t="s">
        <v>44</v>
      </c>
      <c r="D814" s="2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s="2" t="str">
        <f t="shared" si="12"/>
        <v>High</v>
      </c>
    </row>
    <row r="815" spans="1:36" x14ac:dyDescent="0.35">
      <c r="A815">
        <v>39</v>
      </c>
      <c r="B815" t="s">
        <v>35</v>
      </c>
      <c r="C815" t="s">
        <v>44</v>
      </c>
      <c r="D815" s="2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s="2" t="str">
        <f t="shared" si="12"/>
        <v>High</v>
      </c>
    </row>
    <row r="816" spans="1:36" x14ac:dyDescent="0.35">
      <c r="A816">
        <v>40</v>
      </c>
      <c r="B816" t="s">
        <v>43</v>
      </c>
      <c r="C816" t="s">
        <v>36</v>
      </c>
      <c r="D816" s="2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s="2" t="str">
        <f t="shared" si="12"/>
        <v>High</v>
      </c>
    </row>
    <row r="817" spans="1:36" x14ac:dyDescent="0.35">
      <c r="A817">
        <v>21</v>
      </c>
      <c r="B817" t="s">
        <v>43</v>
      </c>
      <c r="C817" t="s">
        <v>36</v>
      </c>
      <c r="D817" s="2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s="2" t="str">
        <f t="shared" si="12"/>
        <v>Low</v>
      </c>
    </row>
    <row r="818" spans="1:36" x14ac:dyDescent="0.35">
      <c r="A818">
        <v>39</v>
      </c>
      <c r="B818" t="s">
        <v>43</v>
      </c>
      <c r="C818" t="s">
        <v>55</v>
      </c>
      <c r="D818" s="2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s="2" t="str">
        <f t="shared" si="12"/>
        <v>Medium</v>
      </c>
    </row>
    <row r="819" spans="1:36" x14ac:dyDescent="0.35">
      <c r="A819">
        <v>36</v>
      </c>
      <c r="B819" t="s">
        <v>43</v>
      </c>
      <c r="C819" t="s">
        <v>55</v>
      </c>
      <c r="D819" s="2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s="2" t="str">
        <f t="shared" si="12"/>
        <v>Medium</v>
      </c>
    </row>
    <row r="820" spans="1:36" x14ac:dyDescent="0.35">
      <c r="A820">
        <v>31</v>
      </c>
      <c r="B820" t="s">
        <v>43</v>
      </c>
      <c r="C820" t="s">
        <v>44</v>
      </c>
      <c r="D820" s="2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s="2" t="str">
        <f t="shared" si="12"/>
        <v>Low</v>
      </c>
    </row>
    <row r="821" spans="1:36" x14ac:dyDescent="0.35">
      <c r="A821">
        <v>28</v>
      </c>
      <c r="B821" t="s">
        <v>43</v>
      </c>
      <c r="C821" t="s">
        <v>36</v>
      </c>
      <c r="D821" s="2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s="2" t="str">
        <f t="shared" si="12"/>
        <v>Low</v>
      </c>
    </row>
    <row r="822" spans="1:36" x14ac:dyDescent="0.35">
      <c r="A822">
        <v>35</v>
      </c>
      <c r="B822" t="s">
        <v>43</v>
      </c>
      <c r="C822" t="s">
        <v>44</v>
      </c>
      <c r="D822" s="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s="2" t="str">
        <f t="shared" si="12"/>
        <v>Low</v>
      </c>
    </row>
    <row r="823" spans="1:36" x14ac:dyDescent="0.35">
      <c r="A823">
        <v>49</v>
      </c>
      <c r="B823" t="s">
        <v>43</v>
      </c>
      <c r="C823" t="s">
        <v>36</v>
      </c>
      <c r="D823" s="2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s="2" t="str">
        <f t="shared" si="12"/>
        <v>High</v>
      </c>
    </row>
    <row r="824" spans="1:36" x14ac:dyDescent="0.35">
      <c r="A824">
        <v>34</v>
      </c>
      <c r="B824" t="s">
        <v>43</v>
      </c>
      <c r="C824" t="s">
        <v>44</v>
      </c>
      <c r="D824" s="2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s="2" t="str">
        <f t="shared" si="12"/>
        <v>Low</v>
      </c>
    </row>
    <row r="825" spans="1:36" x14ac:dyDescent="0.35">
      <c r="A825">
        <v>29</v>
      </c>
      <c r="B825" t="s">
        <v>43</v>
      </c>
      <c r="C825" t="s">
        <v>44</v>
      </c>
      <c r="D825" s="2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s="2" t="str">
        <f t="shared" si="12"/>
        <v>Low</v>
      </c>
    </row>
    <row r="826" spans="1:36" x14ac:dyDescent="0.35">
      <c r="A826">
        <v>42</v>
      </c>
      <c r="B826" t="s">
        <v>43</v>
      </c>
      <c r="C826" t="s">
        <v>36</v>
      </c>
      <c r="D826" s="2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s="2" t="str">
        <f t="shared" si="12"/>
        <v>Low</v>
      </c>
    </row>
    <row r="827" spans="1:36" x14ac:dyDescent="0.35">
      <c r="A827">
        <v>29</v>
      </c>
      <c r="B827" t="s">
        <v>43</v>
      </c>
      <c r="C827" t="s">
        <v>36</v>
      </c>
      <c r="D827" s="2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s="2" t="str">
        <f t="shared" si="12"/>
        <v>Medium</v>
      </c>
    </row>
    <row r="828" spans="1:36" x14ac:dyDescent="0.35">
      <c r="A828">
        <v>38</v>
      </c>
      <c r="B828" t="s">
        <v>43</v>
      </c>
      <c r="C828" t="s">
        <v>36</v>
      </c>
      <c r="D828" s="2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s="2" t="str">
        <f t="shared" si="12"/>
        <v>Low</v>
      </c>
    </row>
    <row r="829" spans="1:36" x14ac:dyDescent="0.35">
      <c r="A829">
        <v>28</v>
      </c>
      <c r="B829" t="s">
        <v>43</v>
      </c>
      <c r="C829" t="s">
        <v>44</v>
      </c>
      <c r="D829" s="2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s="2" t="str">
        <f t="shared" si="12"/>
        <v>Low</v>
      </c>
    </row>
    <row r="830" spans="1:36" x14ac:dyDescent="0.35">
      <c r="A830">
        <v>18</v>
      </c>
      <c r="B830" t="s">
        <v>35</v>
      </c>
      <c r="C830" t="s">
        <v>55</v>
      </c>
      <c r="D830" s="2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s="2" t="str">
        <f t="shared" si="12"/>
        <v>Low</v>
      </c>
    </row>
    <row r="831" spans="1:36" x14ac:dyDescent="0.35">
      <c r="A831">
        <v>33</v>
      </c>
      <c r="B831" t="s">
        <v>35</v>
      </c>
      <c r="C831" t="s">
        <v>36</v>
      </c>
      <c r="D831" s="2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s="2" t="str">
        <f t="shared" si="12"/>
        <v>Medium</v>
      </c>
    </row>
    <row r="832" spans="1:36" x14ac:dyDescent="0.35">
      <c r="A832">
        <v>41</v>
      </c>
      <c r="B832" t="s">
        <v>43</v>
      </c>
      <c r="C832" t="s">
        <v>36</v>
      </c>
      <c r="D832" s="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s="2" t="str">
        <f t="shared" si="12"/>
        <v>Low</v>
      </c>
    </row>
    <row r="833" spans="1:36" x14ac:dyDescent="0.35">
      <c r="A833">
        <v>31</v>
      </c>
      <c r="B833" t="s">
        <v>35</v>
      </c>
      <c r="C833" t="s">
        <v>44</v>
      </c>
      <c r="D833" s="2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s="2" t="str">
        <f t="shared" si="12"/>
        <v>Low</v>
      </c>
    </row>
    <row r="834" spans="1:36" x14ac:dyDescent="0.35">
      <c r="A834">
        <v>37</v>
      </c>
      <c r="B834" t="s">
        <v>43</v>
      </c>
      <c r="C834" t="s">
        <v>36</v>
      </c>
      <c r="D834" s="2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s="2" t="str">
        <f t="shared" ref="AJ834:AJ897" si="13">IF(S834&lt;5000,"Low",IF(S834&lt;10000,"Medium","High"))</f>
        <v>Medium</v>
      </c>
    </row>
    <row r="835" spans="1:36" x14ac:dyDescent="0.35">
      <c r="A835">
        <v>27</v>
      </c>
      <c r="B835" t="s">
        <v>43</v>
      </c>
      <c r="C835" t="s">
        <v>36</v>
      </c>
      <c r="D835" s="2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s="2" t="str">
        <f t="shared" si="13"/>
        <v>Low</v>
      </c>
    </row>
    <row r="836" spans="1:36" x14ac:dyDescent="0.35">
      <c r="A836">
        <v>34</v>
      </c>
      <c r="B836" t="s">
        <v>43</v>
      </c>
      <c r="C836" t="s">
        <v>36</v>
      </c>
      <c r="D836" s="2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s="2" t="str">
        <f t="shared" si="13"/>
        <v>Medium</v>
      </c>
    </row>
    <row r="837" spans="1:36" x14ac:dyDescent="0.35">
      <c r="A837">
        <v>35</v>
      </c>
      <c r="B837" t="s">
        <v>43</v>
      </c>
      <c r="C837" t="s">
        <v>36</v>
      </c>
      <c r="D837" s="2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s="2" t="str">
        <f t="shared" si="13"/>
        <v>Low</v>
      </c>
    </row>
    <row r="838" spans="1:36" x14ac:dyDescent="0.35">
      <c r="A838">
        <v>29</v>
      </c>
      <c r="B838" t="s">
        <v>35</v>
      </c>
      <c r="C838" t="s">
        <v>36</v>
      </c>
      <c r="D838" s="2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s="2" t="str">
        <f t="shared" si="13"/>
        <v>Medium</v>
      </c>
    </row>
    <row r="839" spans="1:36" x14ac:dyDescent="0.35">
      <c r="A839">
        <v>40</v>
      </c>
      <c r="B839" t="s">
        <v>43</v>
      </c>
      <c r="C839" t="s">
        <v>44</v>
      </c>
      <c r="D839" s="2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s="2" t="str">
        <f t="shared" si="13"/>
        <v>High</v>
      </c>
    </row>
    <row r="840" spans="1:36" x14ac:dyDescent="0.35">
      <c r="A840">
        <v>42</v>
      </c>
      <c r="B840" t="s">
        <v>35</v>
      </c>
      <c r="C840" t="s">
        <v>44</v>
      </c>
      <c r="D840" s="2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s="2" t="str">
        <f t="shared" si="13"/>
        <v>High</v>
      </c>
    </row>
    <row r="841" spans="1:36" x14ac:dyDescent="0.35">
      <c r="A841">
        <v>42</v>
      </c>
      <c r="B841" t="s">
        <v>43</v>
      </c>
      <c r="C841" t="s">
        <v>36</v>
      </c>
      <c r="D841" s="2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s="2" t="str">
        <f t="shared" si="13"/>
        <v>Medium</v>
      </c>
    </row>
    <row r="842" spans="1:36" x14ac:dyDescent="0.35">
      <c r="A842">
        <v>35</v>
      </c>
      <c r="B842" t="s">
        <v>43</v>
      </c>
      <c r="C842" t="s">
        <v>36</v>
      </c>
      <c r="D842" s="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s="2" t="str">
        <f t="shared" si="13"/>
        <v>Low</v>
      </c>
    </row>
    <row r="843" spans="1:36" x14ac:dyDescent="0.35">
      <c r="A843">
        <v>24</v>
      </c>
      <c r="B843" t="s">
        <v>43</v>
      </c>
      <c r="C843" t="s">
        <v>36</v>
      </c>
      <c r="D843" s="2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s="2" t="str">
        <f t="shared" si="13"/>
        <v>Low</v>
      </c>
    </row>
    <row r="844" spans="1:36" x14ac:dyDescent="0.35">
      <c r="A844">
        <v>28</v>
      </c>
      <c r="B844" t="s">
        <v>35</v>
      </c>
      <c r="C844" t="s">
        <v>36</v>
      </c>
      <c r="D844" s="2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s="2" t="str">
        <f t="shared" si="13"/>
        <v>Low</v>
      </c>
    </row>
    <row r="845" spans="1:36" x14ac:dyDescent="0.35">
      <c r="A845">
        <v>26</v>
      </c>
      <c r="B845" t="s">
        <v>43</v>
      </c>
      <c r="C845" t="s">
        <v>36</v>
      </c>
      <c r="D845" s="2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s="2" t="str">
        <f t="shared" si="13"/>
        <v>Low</v>
      </c>
    </row>
    <row r="846" spans="1:36" x14ac:dyDescent="0.35">
      <c r="A846">
        <v>30</v>
      </c>
      <c r="B846" t="s">
        <v>43</v>
      </c>
      <c r="C846" t="s">
        <v>36</v>
      </c>
      <c r="D846" s="2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s="2" t="str">
        <f t="shared" si="13"/>
        <v>Medium</v>
      </c>
    </row>
    <row r="847" spans="1:36" x14ac:dyDescent="0.35">
      <c r="A847">
        <v>40</v>
      </c>
      <c r="B847" t="s">
        <v>43</v>
      </c>
      <c r="C847" t="s">
        <v>44</v>
      </c>
      <c r="D847" s="2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s="2" t="str">
        <f t="shared" si="13"/>
        <v>Low</v>
      </c>
    </row>
    <row r="848" spans="1:36" x14ac:dyDescent="0.35">
      <c r="A848">
        <v>35</v>
      </c>
      <c r="B848" t="s">
        <v>43</v>
      </c>
      <c r="C848" t="s">
        <v>36</v>
      </c>
      <c r="D848" s="2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s="2" t="str">
        <f t="shared" si="13"/>
        <v>High</v>
      </c>
    </row>
    <row r="849" spans="1:36" x14ac:dyDescent="0.35">
      <c r="A849">
        <v>34</v>
      </c>
      <c r="B849" t="s">
        <v>43</v>
      </c>
      <c r="C849" t="s">
        <v>44</v>
      </c>
      <c r="D849" s="2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s="2" t="str">
        <f t="shared" si="13"/>
        <v>Medium</v>
      </c>
    </row>
    <row r="850" spans="1:36" x14ac:dyDescent="0.35">
      <c r="A850">
        <v>35</v>
      </c>
      <c r="B850" t="s">
        <v>43</v>
      </c>
      <c r="C850" t="s">
        <v>44</v>
      </c>
      <c r="D850" s="2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s="2" t="str">
        <f t="shared" si="13"/>
        <v>Low</v>
      </c>
    </row>
    <row r="851" spans="1:36" x14ac:dyDescent="0.35">
      <c r="A851">
        <v>43</v>
      </c>
      <c r="B851" t="s">
        <v>35</v>
      </c>
      <c r="C851" t="s">
        <v>36</v>
      </c>
      <c r="D851" s="2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s="2" t="str">
        <f t="shared" si="13"/>
        <v>Medium</v>
      </c>
    </row>
    <row r="852" spans="1:36" x14ac:dyDescent="0.35">
      <c r="A852">
        <v>32</v>
      </c>
      <c r="B852" t="s">
        <v>43</v>
      </c>
      <c r="C852" t="s">
        <v>55</v>
      </c>
      <c r="D852" s="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s="2" t="str">
        <f t="shared" si="13"/>
        <v>Low</v>
      </c>
    </row>
    <row r="853" spans="1:36" x14ac:dyDescent="0.35">
      <c r="A853">
        <v>56</v>
      </c>
      <c r="B853" t="s">
        <v>43</v>
      </c>
      <c r="C853" t="s">
        <v>36</v>
      </c>
      <c r="D853" s="2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s="2" t="str">
        <f t="shared" si="13"/>
        <v>High</v>
      </c>
    </row>
    <row r="854" spans="1:36" x14ac:dyDescent="0.35">
      <c r="A854">
        <v>29</v>
      </c>
      <c r="B854" t="s">
        <v>43</v>
      </c>
      <c r="C854" t="s">
        <v>36</v>
      </c>
      <c r="D854" s="2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s="2" t="str">
        <f t="shared" si="13"/>
        <v>Low</v>
      </c>
    </row>
    <row r="855" spans="1:36" x14ac:dyDescent="0.35">
      <c r="A855">
        <v>19</v>
      </c>
      <c r="B855" t="s">
        <v>43</v>
      </c>
      <c r="C855" t="s">
        <v>36</v>
      </c>
      <c r="D855" s="2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s="2" t="str">
        <f t="shared" si="13"/>
        <v>Low</v>
      </c>
    </row>
    <row r="856" spans="1:36" x14ac:dyDescent="0.35">
      <c r="A856">
        <v>45</v>
      </c>
      <c r="B856" t="s">
        <v>43</v>
      </c>
      <c r="C856" t="s">
        <v>36</v>
      </c>
      <c r="D856" s="2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s="2" t="str">
        <f t="shared" si="13"/>
        <v>Low</v>
      </c>
    </row>
    <row r="857" spans="1:36" x14ac:dyDescent="0.35">
      <c r="A857">
        <v>37</v>
      </c>
      <c r="B857" t="s">
        <v>43</v>
      </c>
      <c r="C857" t="s">
        <v>36</v>
      </c>
      <c r="D857" s="2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s="2" t="str">
        <f t="shared" si="13"/>
        <v>Medium</v>
      </c>
    </row>
    <row r="858" spans="1:36" x14ac:dyDescent="0.35">
      <c r="A858">
        <v>20</v>
      </c>
      <c r="B858" t="s">
        <v>43</v>
      </c>
      <c r="C858" t="s">
        <v>36</v>
      </c>
      <c r="D858" s="2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s="2" t="str">
        <f t="shared" si="13"/>
        <v>Low</v>
      </c>
    </row>
    <row r="859" spans="1:36" x14ac:dyDescent="0.35">
      <c r="A859">
        <v>44</v>
      </c>
      <c r="B859" t="s">
        <v>35</v>
      </c>
      <c r="C859" t="s">
        <v>36</v>
      </c>
      <c r="D859" s="2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s="2" t="str">
        <f t="shared" si="13"/>
        <v>Low</v>
      </c>
    </row>
    <row r="860" spans="1:36" x14ac:dyDescent="0.35">
      <c r="A860">
        <v>53</v>
      </c>
      <c r="B860" t="s">
        <v>43</v>
      </c>
      <c r="C860" t="s">
        <v>36</v>
      </c>
      <c r="D860" s="2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s="2" t="str">
        <f t="shared" si="13"/>
        <v>High</v>
      </c>
    </row>
    <row r="861" spans="1:36" x14ac:dyDescent="0.35">
      <c r="A861">
        <v>29</v>
      </c>
      <c r="B861" t="s">
        <v>43</v>
      </c>
      <c r="C861" t="s">
        <v>36</v>
      </c>
      <c r="D861" s="2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s="2" t="str">
        <f t="shared" si="13"/>
        <v>Low</v>
      </c>
    </row>
    <row r="862" spans="1:36" x14ac:dyDescent="0.35">
      <c r="A862">
        <v>22</v>
      </c>
      <c r="B862" t="s">
        <v>35</v>
      </c>
      <c r="C862" t="s">
        <v>44</v>
      </c>
      <c r="D862" s="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s="2" t="str">
        <f t="shared" si="13"/>
        <v>Low</v>
      </c>
    </row>
    <row r="863" spans="1:36" x14ac:dyDescent="0.35">
      <c r="A863">
        <v>46</v>
      </c>
      <c r="B863" t="s">
        <v>43</v>
      </c>
      <c r="C863" t="s">
        <v>36</v>
      </c>
      <c r="D863" s="2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s="2" t="str">
        <f t="shared" si="13"/>
        <v>High</v>
      </c>
    </row>
    <row r="864" spans="1:36" x14ac:dyDescent="0.35">
      <c r="A864">
        <v>44</v>
      </c>
      <c r="B864" t="s">
        <v>43</v>
      </c>
      <c r="C864" t="s">
        <v>55</v>
      </c>
      <c r="D864" s="2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s="2" t="str">
        <f t="shared" si="13"/>
        <v>Low</v>
      </c>
    </row>
    <row r="865" spans="1:36" x14ac:dyDescent="0.35">
      <c r="A865">
        <v>33</v>
      </c>
      <c r="B865" t="s">
        <v>43</v>
      </c>
      <c r="C865" t="s">
        <v>36</v>
      </c>
      <c r="D865" s="2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s="2" t="str">
        <f t="shared" si="13"/>
        <v>Low</v>
      </c>
    </row>
    <row r="866" spans="1:36" x14ac:dyDescent="0.35">
      <c r="A866">
        <v>41</v>
      </c>
      <c r="B866" t="s">
        <v>35</v>
      </c>
      <c r="C866" t="s">
        <v>55</v>
      </c>
      <c r="D866" s="2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s="2" t="str">
        <f t="shared" si="13"/>
        <v>Low</v>
      </c>
    </row>
    <row r="867" spans="1:36" x14ac:dyDescent="0.35">
      <c r="A867">
        <v>30</v>
      </c>
      <c r="B867" t="s">
        <v>43</v>
      </c>
      <c r="C867" t="s">
        <v>36</v>
      </c>
      <c r="D867" s="2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s="2" t="str">
        <f t="shared" si="13"/>
        <v>Low</v>
      </c>
    </row>
    <row r="868" spans="1:36" x14ac:dyDescent="0.35">
      <c r="A868">
        <v>40</v>
      </c>
      <c r="B868" t="s">
        <v>43</v>
      </c>
      <c r="C868" t="s">
        <v>44</v>
      </c>
      <c r="D868" s="2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s="2" t="str">
        <f t="shared" si="13"/>
        <v>Low</v>
      </c>
    </row>
    <row r="869" spans="1:36" x14ac:dyDescent="0.35">
      <c r="A869">
        <v>50</v>
      </c>
      <c r="B869" t="s">
        <v>43</v>
      </c>
      <c r="C869" t="s">
        <v>44</v>
      </c>
      <c r="D869" s="2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s="2" t="str">
        <f t="shared" si="13"/>
        <v>High</v>
      </c>
    </row>
    <row r="870" spans="1:36" x14ac:dyDescent="0.35">
      <c r="A870">
        <v>28</v>
      </c>
      <c r="B870" t="s">
        <v>43</v>
      </c>
      <c r="C870" t="s">
        <v>36</v>
      </c>
      <c r="D870" s="2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s="2" t="str">
        <f t="shared" si="13"/>
        <v>Low</v>
      </c>
    </row>
    <row r="871" spans="1:36" x14ac:dyDescent="0.35">
      <c r="A871">
        <v>46</v>
      </c>
      <c r="B871" t="s">
        <v>43</v>
      </c>
      <c r="C871" t="s">
        <v>36</v>
      </c>
      <c r="D871" s="2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s="2" t="str">
        <f t="shared" si="13"/>
        <v>High</v>
      </c>
    </row>
    <row r="872" spans="1:36" x14ac:dyDescent="0.35">
      <c r="A872">
        <v>35</v>
      </c>
      <c r="B872" t="s">
        <v>43</v>
      </c>
      <c r="C872" t="s">
        <v>36</v>
      </c>
      <c r="D872" s="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s="2" t="str">
        <f t="shared" si="13"/>
        <v>Medium</v>
      </c>
    </row>
    <row r="873" spans="1:36" x14ac:dyDescent="0.35">
      <c r="A873">
        <v>24</v>
      </c>
      <c r="B873" t="s">
        <v>35</v>
      </c>
      <c r="C873" t="s">
        <v>36</v>
      </c>
      <c r="D873" s="2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s="2" t="str">
        <f t="shared" si="13"/>
        <v>Low</v>
      </c>
    </row>
    <row r="874" spans="1:36" x14ac:dyDescent="0.35">
      <c r="A874">
        <v>33</v>
      </c>
      <c r="B874" t="s">
        <v>43</v>
      </c>
      <c r="C874" t="s">
        <v>44</v>
      </c>
      <c r="D874" s="2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s="2" t="str">
        <f t="shared" si="13"/>
        <v>Low</v>
      </c>
    </row>
    <row r="875" spans="1:36" x14ac:dyDescent="0.35">
      <c r="A875">
        <v>36</v>
      </c>
      <c r="B875" t="s">
        <v>43</v>
      </c>
      <c r="C875" t="s">
        <v>36</v>
      </c>
      <c r="D875" s="2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s="2" t="str">
        <f t="shared" si="13"/>
        <v>Low</v>
      </c>
    </row>
    <row r="876" spans="1:36" x14ac:dyDescent="0.35">
      <c r="A876">
        <v>30</v>
      </c>
      <c r="B876" t="s">
        <v>43</v>
      </c>
      <c r="C876" t="s">
        <v>36</v>
      </c>
      <c r="D876" s="2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s="2" t="str">
        <f t="shared" si="13"/>
        <v>Low</v>
      </c>
    </row>
    <row r="877" spans="1:36" x14ac:dyDescent="0.35">
      <c r="A877">
        <v>44</v>
      </c>
      <c r="B877" t="s">
        <v>43</v>
      </c>
      <c r="C877" t="s">
        <v>36</v>
      </c>
      <c r="D877" s="2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s="2" t="str">
        <f t="shared" si="13"/>
        <v>Low</v>
      </c>
    </row>
    <row r="878" spans="1:36" x14ac:dyDescent="0.35">
      <c r="A878">
        <v>20</v>
      </c>
      <c r="B878" t="s">
        <v>43</v>
      </c>
      <c r="C878" t="s">
        <v>36</v>
      </c>
      <c r="D878" s="2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s="2" t="str">
        <f t="shared" si="13"/>
        <v>Low</v>
      </c>
    </row>
    <row r="879" spans="1:36" x14ac:dyDescent="0.35">
      <c r="A879">
        <v>46</v>
      </c>
      <c r="B879" t="s">
        <v>43</v>
      </c>
      <c r="C879" t="s">
        <v>36</v>
      </c>
      <c r="D879" s="2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s="2" t="str">
        <f t="shared" si="13"/>
        <v>Medium</v>
      </c>
    </row>
    <row r="880" spans="1:36" x14ac:dyDescent="0.35">
      <c r="A880">
        <v>42</v>
      </c>
      <c r="B880" t="s">
        <v>43</v>
      </c>
      <c r="C880" t="s">
        <v>55</v>
      </c>
      <c r="D880" s="2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s="2" t="str">
        <f t="shared" si="13"/>
        <v>Medium</v>
      </c>
    </row>
    <row r="881" spans="1:36" x14ac:dyDescent="0.35">
      <c r="A881">
        <v>60</v>
      </c>
      <c r="B881" t="s">
        <v>43</v>
      </c>
      <c r="C881" t="s">
        <v>36</v>
      </c>
      <c r="D881" s="2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s="2" t="str">
        <f t="shared" si="13"/>
        <v>Medium</v>
      </c>
    </row>
    <row r="882" spans="1:36" x14ac:dyDescent="0.35">
      <c r="A882">
        <v>32</v>
      </c>
      <c r="B882" t="s">
        <v>43</v>
      </c>
      <c r="C882" t="s">
        <v>44</v>
      </c>
      <c r="D882" s="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s="2" t="str">
        <f t="shared" si="13"/>
        <v>Low</v>
      </c>
    </row>
    <row r="883" spans="1:36" x14ac:dyDescent="0.35">
      <c r="A883">
        <v>32</v>
      </c>
      <c r="B883" t="s">
        <v>43</v>
      </c>
      <c r="C883" t="s">
        <v>44</v>
      </c>
      <c r="D883" s="2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s="2" t="str">
        <f t="shared" si="13"/>
        <v>Low</v>
      </c>
    </row>
    <row r="884" spans="1:36" x14ac:dyDescent="0.35">
      <c r="A884">
        <v>36</v>
      </c>
      <c r="B884" t="s">
        <v>43</v>
      </c>
      <c r="C884" t="s">
        <v>36</v>
      </c>
      <c r="D884" s="2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s="2" t="str">
        <f t="shared" si="13"/>
        <v>High</v>
      </c>
    </row>
    <row r="885" spans="1:36" x14ac:dyDescent="0.35">
      <c r="A885">
        <v>33</v>
      </c>
      <c r="B885" t="s">
        <v>43</v>
      </c>
      <c r="C885" t="s">
        <v>36</v>
      </c>
      <c r="D885" s="2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s="2" t="str">
        <f t="shared" si="13"/>
        <v>Low</v>
      </c>
    </row>
    <row r="886" spans="1:36" x14ac:dyDescent="0.35">
      <c r="A886">
        <v>40</v>
      </c>
      <c r="B886" t="s">
        <v>43</v>
      </c>
      <c r="C886" t="s">
        <v>36</v>
      </c>
      <c r="D886" s="2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s="2" t="str">
        <f t="shared" si="13"/>
        <v>Medium</v>
      </c>
    </row>
    <row r="887" spans="1:36" x14ac:dyDescent="0.35">
      <c r="A887">
        <v>25</v>
      </c>
      <c r="B887" t="s">
        <v>43</v>
      </c>
      <c r="C887" t="s">
        <v>36</v>
      </c>
      <c r="D887" s="2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s="2" t="str">
        <f t="shared" si="13"/>
        <v>Low</v>
      </c>
    </row>
    <row r="888" spans="1:36" x14ac:dyDescent="0.35">
      <c r="A888">
        <v>30</v>
      </c>
      <c r="B888" t="s">
        <v>43</v>
      </c>
      <c r="C888" t="s">
        <v>36</v>
      </c>
      <c r="D888" s="2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s="2" t="str">
        <f t="shared" si="13"/>
        <v>Low</v>
      </c>
    </row>
    <row r="889" spans="1:36" x14ac:dyDescent="0.35">
      <c r="A889">
        <v>42</v>
      </c>
      <c r="B889" t="s">
        <v>43</v>
      </c>
      <c r="C889" t="s">
        <v>44</v>
      </c>
      <c r="D889" s="2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s="2" t="str">
        <f t="shared" si="13"/>
        <v>High</v>
      </c>
    </row>
    <row r="890" spans="1:36" x14ac:dyDescent="0.35">
      <c r="A890">
        <v>35</v>
      </c>
      <c r="B890" t="s">
        <v>43</v>
      </c>
      <c r="C890" t="s">
        <v>55</v>
      </c>
      <c r="D890" s="2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s="2" t="str">
        <f t="shared" si="13"/>
        <v>High</v>
      </c>
    </row>
    <row r="891" spans="1:36" x14ac:dyDescent="0.35">
      <c r="A891">
        <v>27</v>
      </c>
      <c r="B891" t="s">
        <v>43</v>
      </c>
      <c r="C891" t="s">
        <v>36</v>
      </c>
      <c r="D891" s="2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s="2" t="str">
        <f t="shared" si="13"/>
        <v>Low</v>
      </c>
    </row>
    <row r="892" spans="1:36" x14ac:dyDescent="0.35">
      <c r="A892">
        <v>54</v>
      </c>
      <c r="B892" t="s">
        <v>43</v>
      </c>
      <c r="C892" t="s">
        <v>44</v>
      </c>
      <c r="D892" s="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s="2" t="str">
        <f t="shared" si="13"/>
        <v>High</v>
      </c>
    </row>
    <row r="893" spans="1:36" x14ac:dyDescent="0.35">
      <c r="A893">
        <v>44</v>
      </c>
      <c r="B893" t="s">
        <v>43</v>
      </c>
      <c r="C893" t="s">
        <v>36</v>
      </c>
      <c r="D893" s="2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s="2" t="str">
        <f t="shared" si="13"/>
        <v>Low</v>
      </c>
    </row>
    <row r="894" spans="1:36" x14ac:dyDescent="0.35">
      <c r="A894">
        <v>19</v>
      </c>
      <c r="B894" t="s">
        <v>35</v>
      </c>
      <c r="C894" t="s">
        <v>55</v>
      </c>
      <c r="D894" s="2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s="2" t="str">
        <f t="shared" si="13"/>
        <v>Low</v>
      </c>
    </row>
    <row r="895" spans="1:36" x14ac:dyDescent="0.35">
      <c r="A895">
        <v>29</v>
      </c>
      <c r="B895" t="s">
        <v>43</v>
      </c>
      <c r="C895" t="s">
        <v>36</v>
      </c>
      <c r="D895" s="2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s="2" t="str">
        <f t="shared" si="13"/>
        <v>Low</v>
      </c>
    </row>
    <row r="896" spans="1:36" x14ac:dyDescent="0.35">
      <c r="A896">
        <v>54</v>
      </c>
      <c r="B896" t="s">
        <v>43</v>
      </c>
      <c r="C896" t="s">
        <v>36</v>
      </c>
      <c r="D896" s="2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s="2" t="str">
        <f t="shared" si="13"/>
        <v>High</v>
      </c>
    </row>
    <row r="897" spans="1:36" x14ac:dyDescent="0.35">
      <c r="A897">
        <v>31</v>
      </c>
      <c r="B897" t="s">
        <v>43</v>
      </c>
      <c r="C897" t="s">
        <v>36</v>
      </c>
      <c r="D897" s="2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s="2" t="str">
        <f t="shared" si="13"/>
        <v>Medium</v>
      </c>
    </row>
    <row r="898" spans="1:36" x14ac:dyDescent="0.35">
      <c r="A898">
        <v>31</v>
      </c>
      <c r="B898" t="s">
        <v>43</v>
      </c>
      <c r="C898" t="s">
        <v>36</v>
      </c>
      <c r="D898" s="2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s="2" t="str">
        <f t="shared" ref="AJ898:AJ961" si="14">IF(S898&lt;5000,"Low",IF(S898&lt;10000,"Medium","High"))</f>
        <v>Medium</v>
      </c>
    </row>
    <row r="899" spans="1:36" x14ac:dyDescent="0.35">
      <c r="A899">
        <v>59</v>
      </c>
      <c r="B899" t="s">
        <v>43</v>
      </c>
      <c r="C899" t="s">
        <v>36</v>
      </c>
      <c r="D899" s="2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s="2" t="str">
        <f t="shared" si="14"/>
        <v>Medium</v>
      </c>
    </row>
    <row r="900" spans="1:36" x14ac:dyDescent="0.35">
      <c r="A900">
        <v>43</v>
      </c>
      <c r="B900" t="s">
        <v>43</v>
      </c>
      <c r="C900" t="s">
        <v>36</v>
      </c>
      <c r="D900" s="2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s="2" t="str">
        <f t="shared" si="14"/>
        <v>High</v>
      </c>
    </row>
    <row r="901" spans="1:36" x14ac:dyDescent="0.35">
      <c r="A901">
        <v>49</v>
      </c>
      <c r="B901" t="s">
        <v>43</v>
      </c>
      <c r="C901" t="s">
        <v>36</v>
      </c>
      <c r="D901" s="2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s="2" t="str">
        <f t="shared" si="14"/>
        <v>High</v>
      </c>
    </row>
    <row r="902" spans="1:36" x14ac:dyDescent="0.35">
      <c r="A902">
        <v>36</v>
      </c>
      <c r="B902" t="s">
        <v>43</v>
      </c>
      <c r="C902" t="s">
        <v>44</v>
      </c>
      <c r="D902" s="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s="2" t="str">
        <f t="shared" si="14"/>
        <v>Low</v>
      </c>
    </row>
    <row r="903" spans="1:36" x14ac:dyDescent="0.35">
      <c r="A903">
        <v>48</v>
      </c>
      <c r="B903" t="s">
        <v>43</v>
      </c>
      <c r="C903" t="s">
        <v>36</v>
      </c>
      <c r="D903" s="2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s="2" t="str">
        <f t="shared" si="14"/>
        <v>Low</v>
      </c>
    </row>
    <row r="904" spans="1:36" x14ac:dyDescent="0.35">
      <c r="A904">
        <v>27</v>
      </c>
      <c r="B904" t="s">
        <v>43</v>
      </c>
      <c r="C904" t="s">
        <v>36</v>
      </c>
      <c r="D904" s="2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s="2" t="str">
        <f t="shared" si="14"/>
        <v>Low</v>
      </c>
    </row>
    <row r="905" spans="1:36" x14ac:dyDescent="0.35">
      <c r="A905">
        <v>29</v>
      </c>
      <c r="B905" t="s">
        <v>43</v>
      </c>
      <c r="C905" t="s">
        <v>36</v>
      </c>
      <c r="D905" s="2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s="2" t="str">
        <f t="shared" si="14"/>
        <v>Medium</v>
      </c>
    </row>
    <row r="906" spans="1:36" x14ac:dyDescent="0.35">
      <c r="A906">
        <v>48</v>
      </c>
      <c r="B906" t="s">
        <v>43</v>
      </c>
      <c r="C906" t="s">
        <v>36</v>
      </c>
      <c r="D906" s="2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s="2" t="str">
        <f t="shared" si="14"/>
        <v>High</v>
      </c>
    </row>
    <row r="907" spans="1:36" x14ac:dyDescent="0.35">
      <c r="A907">
        <v>29</v>
      </c>
      <c r="B907" t="s">
        <v>43</v>
      </c>
      <c r="C907" t="s">
        <v>36</v>
      </c>
      <c r="D907" s="2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s="2" t="str">
        <f t="shared" si="14"/>
        <v>High</v>
      </c>
    </row>
    <row r="908" spans="1:36" x14ac:dyDescent="0.35">
      <c r="A908">
        <v>34</v>
      </c>
      <c r="B908" t="s">
        <v>43</v>
      </c>
      <c r="C908" t="s">
        <v>36</v>
      </c>
      <c r="D908" s="2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s="2" t="str">
        <f t="shared" si="14"/>
        <v>Low</v>
      </c>
    </row>
    <row r="909" spans="1:36" x14ac:dyDescent="0.35">
      <c r="A909">
        <v>44</v>
      </c>
      <c r="B909" t="s">
        <v>43</v>
      </c>
      <c r="C909" t="s">
        <v>36</v>
      </c>
      <c r="D909" s="2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s="2" t="str">
        <f t="shared" si="14"/>
        <v>High</v>
      </c>
    </row>
    <row r="910" spans="1:36" x14ac:dyDescent="0.35">
      <c r="A910">
        <v>33</v>
      </c>
      <c r="B910" t="s">
        <v>43</v>
      </c>
      <c r="C910" t="s">
        <v>36</v>
      </c>
      <c r="D910" s="2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s="2" t="str">
        <f t="shared" si="14"/>
        <v>Medium</v>
      </c>
    </row>
    <row r="911" spans="1:36" x14ac:dyDescent="0.35">
      <c r="A911">
        <v>19</v>
      </c>
      <c r="B911" t="s">
        <v>43</v>
      </c>
      <c r="C911" t="s">
        <v>36</v>
      </c>
      <c r="D911" s="2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s="2" t="str">
        <f t="shared" si="14"/>
        <v>Low</v>
      </c>
    </row>
    <row r="912" spans="1:36" x14ac:dyDescent="0.35">
      <c r="A912">
        <v>23</v>
      </c>
      <c r="B912" t="s">
        <v>43</v>
      </c>
      <c r="C912" t="s">
        <v>36</v>
      </c>
      <c r="D912" s="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s="2" t="str">
        <f t="shared" si="14"/>
        <v>Low</v>
      </c>
    </row>
    <row r="913" spans="1:36" x14ac:dyDescent="0.35">
      <c r="A913">
        <v>25</v>
      </c>
      <c r="B913" t="s">
        <v>35</v>
      </c>
      <c r="C913" t="s">
        <v>44</v>
      </c>
      <c r="D913" s="2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s="2" t="str">
        <f t="shared" si="14"/>
        <v>Low</v>
      </c>
    </row>
    <row r="914" spans="1:36" x14ac:dyDescent="0.35">
      <c r="A914">
        <v>26</v>
      </c>
      <c r="B914" t="s">
        <v>43</v>
      </c>
      <c r="C914" t="s">
        <v>36</v>
      </c>
      <c r="D914" s="2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s="2" t="str">
        <f t="shared" si="14"/>
        <v>Low</v>
      </c>
    </row>
    <row r="915" spans="1:36" x14ac:dyDescent="0.35">
      <c r="A915">
        <v>45</v>
      </c>
      <c r="B915" t="s">
        <v>35</v>
      </c>
      <c r="C915" t="s">
        <v>36</v>
      </c>
      <c r="D915" s="2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s="2" t="str">
        <f t="shared" si="14"/>
        <v>High</v>
      </c>
    </row>
    <row r="916" spans="1:36" x14ac:dyDescent="0.35">
      <c r="A916">
        <v>55</v>
      </c>
      <c r="B916" t="s">
        <v>43</v>
      </c>
      <c r="C916" t="s">
        <v>55</v>
      </c>
      <c r="D916" s="2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s="2" t="str">
        <f t="shared" si="14"/>
        <v>High</v>
      </c>
    </row>
    <row r="917" spans="1:36" x14ac:dyDescent="0.35">
      <c r="A917">
        <v>21</v>
      </c>
      <c r="B917" t="s">
        <v>35</v>
      </c>
      <c r="C917" t="s">
        <v>44</v>
      </c>
      <c r="D917" s="2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s="2" t="str">
        <f t="shared" si="14"/>
        <v>Low</v>
      </c>
    </row>
    <row r="918" spans="1:36" x14ac:dyDescent="0.35">
      <c r="A918">
        <v>46</v>
      </c>
      <c r="B918" t="s">
        <v>43</v>
      </c>
      <c r="C918" t="s">
        <v>36</v>
      </c>
      <c r="D918" s="2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s="2" t="str">
        <f t="shared" si="14"/>
        <v>High</v>
      </c>
    </row>
    <row r="919" spans="1:36" x14ac:dyDescent="0.35">
      <c r="A919">
        <v>34</v>
      </c>
      <c r="B919" t="s">
        <v>43</v>
      </c>
      <c r="C919" t="s">
        <v>36</v>
      </c>
      <c r="D919" s="2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s="2" t="str">
        <f t="shared" si="14"/>
        <v>Low</v>
      </c>
    </row>
    <row r="920" spans="1:36" x14ac:dyDescent="0.35">
      <c r="A920">
        <v>51</v>
      </c>
      <c r="B920" t="s">
        <v>43</v>
      </c>
      <c r="C920" t="s">
        <v>44</v>
      </c>
      <c r="D920" s="2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s="2" t="str">
        <f t="shared" si="14"/>
        <v>High</v>
      </c>
    </row>
    <row r="921" spans="1:36" x14ac:dyDescent="0.35">
      <c r="A921">
        <v>59</v>
      </c>
      <c r="B921" t="s">
        <v>43</v>
      </c>
      <c r="C921" t="s">
        <v>36</v>
      </c>
      <c r="D921" s="2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s="2" t="str">
        <f t="shared" si="14"/>
        <v>High</v>
      </c>
    </row>
    <row r="922" spans="1:36" x14ac:dyDescent="0.35">
      <c r="A922">
        <v>34</v>
      </c>
      <c r="B922" t="s">
        <v>43</v>
      </c>
      <c r="C922" t="s">
        <v>44</v>
      </c>
      <c r="D922" s="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s="2" t="str">
        <f t="shared" si="14"/>
        <v>Low</v>
      </c>
    </row>
    <row r="923" spans="1:36" x14ac:dyDescent="0.35">
      <c r="A923">
        <v>28</v>
      </c>
      <c r="B923" t="s">
        <v>43</v>
      </c>
      <c r="C923" t="s">
        <v>44</v>
      </c>
      <c r="D923" s="2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s="2" t="str">
        <f t="shared" si="14"/>
        <v>Low</v>
      </c>
    </row>
    <row r="924" spans="1:36" x14ac:dyDescent="0.35">
      <c r="A924">
        <v>44</v>
      </c>
      <c r="B924" t="s">
        <v>43</v>
      </c>
      <c r="C924" t="s">
        <v>36</v>
      </c>
      <c r="D924" s="2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s="2" t="str">
        <f t="shared" si="14"/>
        <v>High</v>
      </c>
    </row>
    <row r="925" spans="1:36" x14ac:dyDescent="0.35">
      <c r="A925">
        <v>34</v>
      </c>
      <c r="B925" t="s">
        <v>43</v>
      </c>
      <c r="C925" t="s">
        <v>44</v>
      </c>
      <c r="D925" s="2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s="2" t="str">
        <f t="shared" si="14"/>
        <v>Low</v>
      </c>
    </row>
    <row r="926" spans="1:36" x14ac:dyDescent="0.35">
      <c r="A926">
        <v>35</v>
      </c>
      <c r="B926" t="s">
        <v>43</v>
      </c>
      <c r="C926" t="s">
        <v>36</v>
      </c>
      <c r="D926" s="2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s="2" t="str">
        <f t="shared" si="14"/>
        <v>Low</v>
      </c>
    </row>
    <row r="927" spans="1:36" x14ac:dyDescent="0.35">
      <c r="A927">
        <v>42</v>
      </c>
      <c r="B927" t="s">
        <v>43</v>
      </c>
      <c r="C927" t="s">
        <v>36</v>
      </c>
      <c r="D927" s="2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s="2" t="str">
        <f t="shared" si="14"/>
        <v>Low</v>
      </c>
    </row>
    <row r="928" spans="1:36" x14ac:dyDescent="0.35">
      <c r="A928">
        <v>43</v>
      </c>
      <c r="B928" t="s">
        <v>43</v>
      </c>
      <c r="C928" t="s">
        <v>36</v>
      </c>
      <c r="D928" s="2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s="2" t="str">
        <f t="shared" si="14"/>
        <v>High</v>
      </c>
    </row>
    <row r="929" spans="1:36" x14ac:dyDescent="0.35">
      <c r="A929">
        <v>36</v>
      </c>
      <c r="B929" t="s">
        <v>43</v>
      </c>
      <c r="C929" t="s">
        <v>36</v>
      </c>
      <c r="D929" s="2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s="2" t="str">
        <f t="shared" si="14"/>
        <v>Medium</v>
      </c>
    </row>
    <row r="930" spans="1:36" x14ac:dyDescent="0.35">
      <c r="A930">
        <v>44</v>
      </c>
      <c r="B930" t="s">
        <v>35</v>
      </c>
      <c r="C930" t="s">
        <v>36</v>
      </c>
      <c r="D930" s="2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s="2" t="str">
        <f t="shared" si="14"/>
        <v>Medium</v>
      </c>
    </row>
    <row r="931" spans="1:36" x14ac:dyDescent="0.35">
      <c r="A931">
        <v>28</v>
      </c>
      <c r="B931" t="s">
        <v>43</v>
      </c>
      <c r="C931" t="s">
        <v>44</v>
      </c>
      <c r="D931" s="2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s="2" t="str">
        <f t="shared" si="14"/>
        <v>Low</v>
      </c>
    </row>
    <row r="932" spans="1:36" x14ac:dyDescent="0.35">
      <c r="A932">
        <v>51</v>
      </c>
      <c r="B932" t="s">
        <v>43</v>
      </c>
      <c r="C932" t="s">
        <v>44</v>
      </c>
      <c r="D932" s="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s="2" t="str">
        <f t="shared" si="14"/>
        <v>Low</v>
      </c>
    </row>
    <row r="933" spans="1:36" x14ac:dyDescent="0.35">
      <c r="A933">
        <v>30</v>
      </c>
      <c r="B933" t="s">
        <v>43</v>
      </c>
      <c r="C933" t="s">
        <v>55</v>
      </c>
      <c r="D933" s="2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s="2" t="str">
        <f t="shared" si="14"/>
        <v>Low</v>
      </c>
    </row>
    <row r="934" spans="1:36" x14ac:dyDescent="0.35">
      <c r="A934">
        <v>29</v>
      </c>
      <c r="B934" t="s">
        <v>35</v>
      </c>
      <c r="C934" t="s">
        <v>36</v>
      </c>
      <c r="D934" s="2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s="2" t="str">
        <f t="shared" si="14"/>
        <v>Low</v>
      </c>
    </row>
    <row r="935" spans="1:36" x14ac:dyDescent="0.35">
      <c r="A935">
        <v>28</v>
      </c>
      <c r="B935" t="s">
        <v>43</v>
      </c>
      <c r="C935" t="s">
        <v>36</v>
      </c>
      <c r="D935" s="2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s="2" t="str">
        <f t="shared" si="14"/>
        <v>Low</v>
      </c>
    </row>
    <row r="936" spans="1:36" x14ac:dyDescent="0.35">
      <c r="A936">
        <v>25</v>
      </c>
      <c r="B936" t="s">
        <v>43</v>
      </c>
      <c r="C936" t="s">
        <v>36</v>
      </c>
      <c r="D936" s="2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s="2" t="str">
        <f t="shared" si="14"/>
        <v>Low</v>
      </c>
    </row>
    <row r="937" spans="1:36" x14ac:dyDescent="0.35">
      <c r="A937">
        <v>32</v>
      </c>
      <c r="B937" t="s">
        <v>43</v>
      </c>
      <c r="C937" t="s">
        <v>36</v>
      </c>
      <c r="D937" s="2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s="2" t="str">
        <f t="shared" si="14"/>
        <v>Medium</v>
      </c>
    </row>
    <row r="938" spans="1:36" x14ac:dyDescent="0.35">
      <c r="A938">
        <v>45</v>
      </c>
      <c r="B938" t="s">
        <v>43</v>
      </c>
      <c r="C938" t="s">
        <v>44</v>
      </c>
      <c r="D938" s="2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s="2" t="str">
        <f t="shared" si="14"/>
        <v>High</v>
      </c>
    </row>
    <row r="939" spans="1:36" x14ac:dyDescent="0.35">
      <c r="A939">
        <v>39</v>
      </c>
      <c r="B939" t="s">
        <v>43</v>
      </c>
      <c r="C939" t="s">
        <v>36</v>
      </c>
      <c r="D939" s="2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s="2" t="str">
        <f t="shared" si="14"/>
        <v>High</v>
      </c>
    </row>
    <row r="940" spans="1:36" x14ac:dyDescent="0.35">
      <c r="A940">
        <v>58</v>
      </c>
      <c r="B940" t="s">
        <v>43</v>
      </c>
      <c r="C940" t="s">
        <v>36</v>
      </c>
      <c r="D940" s="2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s="2" t="str">
        <f t="shared" si="14"/>
        <v>Low</v>
      </c>
    </row>
    <row r="941" spans="1:36" x14ac:dyDescent="0.35">
      <c r="A941">
        <v>32</v>
      </c>
      <c r="B941" t="s">
        <v>35</v>
      </c>
      <c r="C941" t="s">
        <v>36</v>
      </c>
      <c r="D941" s="2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s="2" t="str">
        <f t="shared" si="14"/>
        <v>Low</v>
      </c>
    </row>
    <row r="942" spans="1:36" x14ac:dyDescent="0.35">
      <c r="A942">
        <v>39</v>
      </c>
      <c r="B942" t="s">
        <v>35</v>
      </c>
      <c r="C942" t="s">
        <v>36</v>
      </c>
      <c r="D942" s="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s="2" t="str">
        <f t="shared" si="14"/>
        <v>Low</v>
      </c>
    </row>
    <row r="943" spans="1:36" x14ac:dyDescent="0.35">
      <c r="A943">
        <v>30</v>
      </c>
      <c r="B943" t="s">
        <v>43</v>
      </c>
      <c r="C943" t="s">
        <v>36</v>
      </c>
      <c r="D943" s="2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s="2" t="str">
        <f t="shared" si="14"/>
        <v>Low</v>
      </c>
    </row>
    <row r="944" spans="1:36" x14ac:dyDescent="0.35">
      <c r="A944">
        <v>36</v>
      </c>
      <c r="B944" t="s">
        <v>43</v>
      </c>
      <c r="C944" t="s">
        <v>36</v>
      </c>
      <c r="D944" s="2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s="2" t="str">
        <f t="shared" si="14"/>
        <v>Medium</v>
      </c>
    </row>
    <row r="945" spans="1:36" x14ac:dyDescent="0.35">
      <c r="A945">
        <v>46</v>
      </c>
      <c r="B945" t="s">
        <v>43</v>
      </c>
      <c r="C945" t="s">
        <v>36</v>
      </c>
      <c r="D945" s="2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s="2" t="str">
        <f t="shared" si="14"/>
        <v>Low</v>
      </c>
    </row>
    <row r="946" spans="1:36" x14ac:dyDescent="0.35">
      <c r="A946">
        <v>28</v>
      </c>
      <c r="B946" t="s">
        <v>43</v>
      </c>
      <c r="C946" t="s">
        <v>55</v>
      </c>
      <c r="D946" s="2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s="2" t="str">
        <f t="shared" si="14"/>
        <v>Medium</v>
      </c>
    </row>
    <row r="947" spans="1:36" x14ac:dyDescent="0.35">
      <c r="A947">
        <v>50</v>
      </c>
      <c r="B947" t="s">
        <v>43</v>
      </c>
      <c r="C947" t="s">
        <v>36</v>
      </c>
      <c r="D947" s="2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s="2" t="str">
        <f t="shared" si="14"/>
        <v>High</v>
      </c>
    </row>
    <row r="948" spans="1:36" x14ac:dyDescent="0.35">
      <c r="A948">
        <v>40</v>
      </c>
      <c r="B948" t="s">
        <v>35</v>
      </c>
      <c r="C948" t="s">
        <v>36</v>
      </c>
      <c r="D948" s="2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s="2" t="str">
        <f t="shared" si="14"/>
        <v>Medium</v>
      </c>
    </row>
    <row r="949" spans="1:36" x14ac:dyDescent="0.35">
      <c r="A949">
        <v>52</v>
      </c>
      <c r="B949" t="s">
        <v>35</v>
      </c>
      <c r="C949" t="s">
        <v>36</v>
      </c>
      <c r="D949" s="2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s="2" t="str">
        <f t="shared" si="14"/>
        <v>Medium</v>
      </c>
    </row>
    <row r="950" spans="1:36" x14ac:dyDescent="0.35">
      <c r="A950">
        <v>30</v>
      </c>
      <c r="B950" t="s">
        <v>43</v>
      </c>
      <c r="C950" t="s">
        <v>36</v>
      </c>
      <c r="D950" s="2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s="2" t="str">
        <f t="shared" si="14"/>
        <v>High</v>
      </c>
    </row>
    <row r="951" spans="1:36" x14ac:dyDescent="0.35">
      <c r="A951">
        <v>39</v>
      </c>
      <c r="B951" t="s">
        <v>43</v>
      </c>
      <c r="C951" t="s">
        <v>36</v>
      </c>
      <c r="D951" s="2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s="2" t="str">
        <f t="shared" si="14"/>
        <v>Low</v>
      </c>
    </row>
    <row r="952" spans="1:36" x14ac:dyDescent="0.35">
      <c r="A952">
        <v>31</v>
      </c>
      <c r="B952" t="s">
        <v>43</v>
      </c>
      <c r="C952" t="s">
        <v>55</v>
      </c>
      <c r="D952" s="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s="2" t="str">
        <f t="shared" si="14"/>
        <v>Medium</v>
      </c>
    </row>
    <row r="953" spans="1:36" x14ac:dyDescent="0.35">
      <c r="A953">
        <v>41</v>
      </c>
      <c r="B953" t="s">
        <v>43</v>
      </c>
      <c r="C953" t="s">
        <v>55</v>
      </c>
      <c r="D953" s="2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s="2" t="str">
        <f t="shared" si="14"/>
        <v>Medium</v>
      </c>
    </row>
    <row r="954" spans="1:36" x14ac:dyDescent="0.35">
      <c r="A954">
        <v>31</v>
      </c>
      <c r="B954" t="s">
        <v>35</v>
      </c>
      <c r="C954" t="s">
        <v>44</v>
      </c>
      <c r="D954" s="2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s="2" t="str">
        <f t="shared" si="14"/>
        <v>Low</v>
      </c>
    </row>
    <row r="955" spans="1:36" x14ac:dyDescent="0.35">
      <c r="A955">
        <v>44</v>
      </c>
      <c r="B955" t="s">
        <v>35</v>
      </c>
      <c r="C955" t="s">
        <v>36</v>
      </c>
      <c r="D955" s="2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s="2" t="str">
        <f t="shared" si="14"/>
        <v>Low</v>
      </c>
    </row>
    <row r="956" spans="1:36" x14ac:dyDescent="0.35">
      <c r="A956">
        <v>42</v>
      </c>
      <c r="B956" t="s">
        <v>43</v>
      </c>
      <c r="C956" t="s">
        <v>55</v>
      </c>
      <c r="D956" s="2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s="2" t="str">
        <f t="shared" si="14"/>
        <v>High</v>
      </c>
    </row>
    <row r="957" spans="1:36" x14ac:dyDescent="0.35">
      <c r="A957">
        <v>55</v>
      </c>
      <c r="B957" t="s">
        <v>43</v>
      </c>
      <c r="C957" t="s">
        <v>36</v>
      </c>
      <c r="D957" s="2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s="2" t="str">
        <f t="shared" si="14"/>
        <v>High</v>
      </c>
    </row>
    <row r="958" spans="1:36" x14ac:dyDescent="0.35">
      <c r="A958">
        <v>56</v>
      </c>
      <c r="B958" t="s">
        <v>43</v>
      </c>
      <c r="C958" t="s">
        <v>36</v>
      </c>
      <c r="D958" s="2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s="2" t="str">
        <f t="shared" si="14"/>
        <v>High</v>
      </c>
    </row>
    <row r="959" spans="1:36" x14ac:dyDescent="0.35">
      <c r="A959">
        <v>40</v>
      </c>
      <c r="B959" t="s">
        <v>43</v>
      </c>
      <c r="C959" t="s">
        <v>55</v>
      </c>
      <c r="D959" s="2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s="2" t="str">
        <f t="shared" si="14"/>
        <v>Low</v>
      </c>
    </row>
    <row r="960" spans="1:36" x14ac:dyDescent="0.35">
      <c r="A960">
        <v>34</v>
      </c>
      <c r="B960" t="s">
        <v>43</v>
      </c>
      <c r="C960" t="s">
        <v>36</v>
      </c>
      <c r="D960" s="2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s="2" t="str">
        <f t="shared" si="14"/>
        <v>Medium</v>
      </c>
    </row>
    <row r="961" spans="1:36" x14ac:dyDescent="0.35">
      <c r="A961">
        <v>40</v>
      </c>
      <c r="B961" t="s">
        <v>43</v>
      </c>
      <c r="C961" t="s">
        <v>36</v>
      </c>
      <c r="D961" s="2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s="2" t="str">
        <f t="shared" si="14"/>
        <v>Low</v>
      </c>
    </row>
    <row r="962" spans="1:36" x14ac:dyDescent="0.35">
      <c r="A962">
        <v>41</v>
      </c>
      <c r="B962" t="s">
        <v>43</v>
      </c>
      <c r="C962" t="s">
        <v>44</v>
      </c>
      <c r="D962" s="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s="2" t="str">
        <f t="shared" ref="AJ962:AJ1025" si="15">IF(S962&lt;5000,"Low",IF(S962&lt;10000,"Medium","High"))</f>
        <v>Low</v>
      </c>
    </row>
    <row r="963" spans="1:36" x14ac:dyDescent="0.35">
      <c r="A963">
        <v>35</v>
      </c>
      <c r="B963" t="s">
        <v>43</v>
      </c>
      <c r="C963" t="s">
        <v>44</v>
      </c>
      <c r="D963" s="2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s="2" t="str">
        <f t="shared" si="15"/>
        <v>Low</v>
      </c>
    </row>
    <row r="964" spans="1:36" x14ac:dyDescent="0.35">
      <c r="A964">
        <v>51</v>
      </c>
      <c r="B964" t="s">
        <v>43</v>
      </c>
      <c r="C964" t="s">
        <v>36</v>
      </c>
      <c r="D964" s="2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s="2" t="str">
        <f t="shared" si="15"/>
        <v>High</v>
      </c>
    </row>
    <row r="965" spans="1:36" x14ac:dyDescent="0.35">
      <c r="A965">
        <v>38</v>
      </c>
      <c r="B965" t="s">
        <v>43</v>
      </c>
      <c r="C965" t="s">
        <v>36</v>
      </c>
      <c r="D965" s="2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s="2" t="str">
        <f t="shared" si="15"/>
        <v>Medium</v>
      </c>
    </row>
    <row r="966" spans="1:36" x14ac:dyDescent="0.35">
      <c r="A966">
        <v>34</v>
      </c>
      <c r="B966" t="s">
        <v>43</v>
      </c>
      <c r="C966" t="s">
        <v>36</v>
      </c>
      <c r="D966" s="2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s="2" t="str">
        <f t="shared" si="15"/>
        <v>Medium</v>
      </c>
    </row>
    <row r="967" spans="1:36" x14ac:dyDescent="0.35">
      <c r="A967">
        <v>25</v>
      </c>
      <c r="B967" t="s">
        <v>43</v>
      </c>
      <c r="C967" t="s">
        <v>36</v>
      </c>
      <c r="D967" s="2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s="2" t="str">
        <f t="shared" si="15"/>
        <v>Low</v>
      </c>
    </row>
    <row r="968" spans="1:36" x14ac:dyDescent="0.35">
      <c r="A968">
        <v>58</v>
      </c>
      <c r="B968" t="s">
        <v>35</v>
      </c>
      <c r="C968" t="s">
        <v>36</v>
      </c>
      <c r="D968" s="2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s="2" t="str">
        <f t="shared" si="15"/>
        <v>High</v>
      </c>
    </row>
    <row r="969" spans="1:36" x14ac:dyDescent="0.35">
      <c r="A969">
        <v>40</v>
      </c>
      <c r="B969" t="s">
        <v>43</v>
      </c>
      <c r="C969" t="s">
        <v>36</v>
      </c>
      <c r="D969" s="2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s="2" t="str">
        <f t="shared" si="15"/>
        <v>Low</v>
      </c>
    </row>
    <row r="970" spans="1:36" x14ac:dyDescent="0.35">
      <c r="A970">
        <v>36</v>
      </c>
      <c r="B970" t="s">
        <v>43</v>
      </c>
      <c r="C970" t="s">
        <v>44</v>
      </c>
      <c r="D970" s="2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s="2" t="str">
        <f t="shared" si="15"/>
        <v>Low</v>
      </c>
    </row>
    <row r="971" spans="1:36" x14ac:dyDescent="0.35">
      <c r="A971">
        <v>48</v>
      </c>
      <c r="B971" t="s">
        <v>43</v>
      </c>
      <c r="C971" t="s">
        <v>36</v>
      </c>
      <c r="D971" s="2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s="2" t="str">
        <f t="shared" si="15"/>
        <v>Medium</v>
      </c>
    </row>
    <row r="972" spans="1:36" x14ac:dyDescent="0.35">
      <c r="A972">
        <v>27</v>
      </c>
      <c r="B972" t="s">
        <v>43</v>
      </c>
      <c r="C972" t="s">
        <v>36</v>
      </c>
      <c r="D972" s="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s="2" t="str">
        <f t="shared" si="15"/>
        <v>Low</v>
      </c>
    </row>
    <row r="973" spans="1:36" x14ac:dyDescent="0.35">
      <c r="A973">
        <v>51</v>
      </c>
      <c r="B973" t="s">
        <v>43</v>
      </c>
      <c r="C973" t="s">
        <v>36</v>
      </c>
      <c r="D973" s="2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s="2" t="str">
        <f t="shared" si="15"/>
        <v>High</v>
      </c>
    </row>
    <row r="974" spans="1:36" x14ac:dyDescent="0.35">
      <c r="A974">
        <v>18</v>
      </c>
      <c r="B974" t="s">
        <v>43</v>
      </c>
      <c r="C974" t="s">
        <v>55</v>
      </c>
      <c r="D974" s="2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s="2" t="str">
        <f t="shared" si="15"/>
        <v>Low</v>
      </c>
    </row>
    <row r="975" spans="1:36" x14ac:dyDescent="0.35">
      <c r="A975">
        <v>35</v>
      </c>
      <c r="B975" t="s">
        <v>43</v>
      </c>
      <c r="C975" t="s">
        <v>36</v>
      </c>
      <c r="D975" s="2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s="2" t="str">
        <f t="shared" si="15"/>
        <v>Medium</v>
      </c>
    </row>
    <row r="976" spans="1:36" x14ac:dyDescent="0.35">
      <c r="A976">
        <v>27</v>
      </c>
      <c r="B976" t="s">
        <v>43</v>
      </c>
      <c r="C976" t="s">
        <v>44</v>
      </c>
      <c r="D976" s="2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s="2" t="str">
        <f t="shared" si="15"/>
        <v>Medium</v>
      </c>
    </row>
    <row r="977" spans="1:36" x14ac:dyDescent="0.35">
      <c r="A977">
        <v>55</v>
      </c>
      <c r="B977" t="s">
        <v>35</v>
      </c>
      <c r="C977" t="s">
        <v>36</v>
      </c>
      <c r="D977" s="2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s="2" t="str">
        <f t="shared" si="15"/>
        <v>High</v>
      </c>
    </row>
    <row r="978" spans="1:36" x14ac:dyDescent="0.35">
      <c r="A978">
        <v>56</v>
      </c>
      <c r="B978" t="s">
        <v>43</v>
      </c>
      <c r="C978" t="s">
        <v>36</v>
      </c>
      <c r="D978" s="2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s="2" t="str">
        <f t="shared" si="15"/>
        <v>High</v>
      </c>
    </row>
    <row r="979" spans="1:36" x14ac:dyDescent="0.35">
      <c r="A979">
        <v>34</v>
      </c>
      <c r="B979" t="s">
        <v>43</v>
      </c>
      <c r="C979" t="s">
        <v>55</v>
      </c>
      <c r="D979" s="2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s="2" t="str">
        <f t="shared" si="15"/>
        <v>Low</v>
      </c>
    </row>
    <row r="980" spans="1:36" x14ac:dyDescent="0.35">
      <c r="A980">
        <v>40</v>
      </c>
      <c r="B980" t="s">
        <v>43</v>
      </c>
      <c r="C980" t="s">
        <v>36</v>
      </c>
      <c r="D980" s="2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s="2" t="str">
        <f t="shared" si="15"/>
        <v>Medium</v>
      </c>
    </row>
    <row r="981" spans="1:36" x14ac:dyDescent="0.35">
      <c r="A981">
        <v>34</v>
      </c>
      <c r="B981" t="s">
        <v>43</v>
      </c>
      <c r="C981" t="s">
        <v>36</v>
      </c>
      <c r="D981" s="2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s="2" t="str">
        <f t="shared" si="15"/>
        <v>Medium</v>
      </c>
    </row>
    <row r="982" spans="1:36" x14ac:dyDescent="0.35">
      <c r="A982">
        <v>31</v>
      </c>
      <c r="B982" t="s">
        <v>35</v>
      </c>
      <c r="C982" t="s">
        <v>44</v>
      </c>
      <c r="D982" s="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s="2" t="str">
        <f t="shared" si="15"/>
        <v>Low</v>
      </c>
    </row>
    <row r="983" spans="1:36" x14ac:dyDescent="0.35">
      <c r="A983">
        <v>35</v>
      </c>
      <c r="B983" t="s">
        <v>35</v>
      </c>
      <c r="C983" t="s">
        <v>44</v>
      </c>
      <c r="D983" s="2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s="2" t="str">
        <f t="shared" si="15"/>
        <v>Low</v>
      </c>
    </row>
    <row r="984" spans="1:36" x14ac:dyDescent="0.35">
      <c r="A984">
        <v>38</v>
      </c>
      <c r="B984" t="s">
        <v>43</v>
      </c>
      <c r="C984" t="s">
        <v>44</v>
      </c>
      <c r="D984" s="2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s="2" t="str">
        <f t="shared" si="15"/>
        <v>Low</v>
      </c>
    </row>
    <row r="985" spans="1:36" x14ac:dyDescent="0.35">
      <c r="A985">
        <v>34</v>
      </c>
      <c r="B985" t="s">
        <v>43</v>
      </c>
      <c r="C985" t="s">
        <v>36</v>
      </c>
      <c r="D985" s="2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s="2" t="str">
        <f t="shared" si="15"/>
        <v>Medium</v>
      </c>
    </row>
    <row r="986" spans="1:36" x14ac:dyDescent="0.35">
      <c r="A986">
        <v>28</v>
      </c>
      <c r="B986" t="s">
        <v>43</v>
      </c>
      <c r="C986" t="s">
        <v>36</v>
      </c>
      <c r="D986" s="2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s="2" t="str">
        <f t="shared" si="15"/>
        <v>Low</v>
      </c>
    </row>
    <row r="987" spans="1:36" x14ac:dyDescent="0.35">
      <c r="A987">
        <v>31</v>
      </c>
      <c r="B987" t="s">
        <v>35</v>
      </c>
      <c r="C987" t="s">
        <v>36</v>
      </c>
      <c r="D987" s="2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s="2" t="str">
        <f t="shared" si="15"/>
        <v>Medium</v>
      </c>
    </row>
    <row r="988" spans="1:36" x14ac:dyDescent="0.35">
      <c r="A988">
        <v>39</v>
      </c>
      <c r="B988" t="s">
        <v>43</v>
      </c>
      <c r="C988" t="s">
        <v>36</v>
      </c>
      <c r="D988" s="2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s="2" t="str">
        <f t="shared" si="15"/>
        <v>Medium</v>
      </c>
    </row>
    <row r="989" spans="1:36" x14ac:dyDescent="0.35">
      <c r="A989">
        <v>51</v>
      </c>
      <c r="B989" t="s">
        <v>43</v>
      </c>
      <c r="C989" t="s">
        <v>44</v>
      </c>
      <c r="D989" s="2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s="2" t="str">
        <f t="shared" si="15"/>
        <v>High</v>
      </c>
    </row>
    <row r="990" spans="1:36" x14ac:dyDescent="0.35">
      <c r="A990">
        <v>41</v>
      </c>
      <c r="B990" t="s">
        <v>43</v>
      </c>
      <c r="C990" t="s">
        <v>44</v>
      </c>
      <c r="D990" s="2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s="2" t="str">
        <f t="shared" si="15"/>
        <v>Medium</v>
      </c>
    </row>
    <row r="991" spans="1:36" x14ac:dyDescent="0.35">
      <c r="A991">
        <v>37</v>
      </c>
      <c r="B991" t="s">
        <v>43</v>
      </c>
      <c r="C991" t="s">
        <v>36</v>
      </c>
      <c r="D991" s="2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s="2" t="str">
        <f t="shared" si="15"/>
        <v>Low</v>
      </c>
    </row>
    <row r="992" spans="1:36" x14ac:dyDescent="0.35">
      <c r="A992">
        <v>33</v>
      </c>
      <c r="B992" t="s">
        <v>43</v>
      </c>
      <c r="C992" t="s">
        <v>44</v>
      </c>
      <c r="D992" s="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s="2" t="str">
        <f t="shared" si="15"/>
        <v>Medium</v>
      </c>
    </row>
    <row r="993" spans="1:36" x14ac:dyDescent="0.35">
      <c r="A993">
        <v>32</v>
      </c>
      <c r="B993" t="s">
        <v>43</v>
      </c>
      <c r="C993" t="s">
        <v>36</v>
      </c>
      <c r="D993" s="2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s="2" t="str">
        <f t="shared" si="15"/>
        <v>Low</v>
      </c>
    </row>
    <row r="994" spans="1:36" x14ac:dyDescent="0.35">
      <c r="A994">
        <v>39</v>
      </c>
      <c r="B994" t="s">
        <v>43</v>
      </c>
      <c r="C994" t="s">
        <v>55</v>
      </c>
      <c r="D994" s="2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s="2" t="str">
        <f t="shared" si="15"/>
        <v>High</v>
      </c>
    </row>
    <row r="995" spans="1:36" x14ac:dyDescent="0.35">
      <c r="A995">
        <v>25</v>
      </c>
      <c r="B995" t="s">
        <v>43</v>
      </c>
      <c r="C995" t="s">
        <v>36</v>
      </c>
      <c r="D995" s="2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s="2" t="str">
        <f t="shared" si="15"/>
        <v>Medium</v>
      </c>
    </row>
    <row r="996" spans="1:36" x14ac:dyDescent="0.35">
      <c r="A996">
        <v>52</v>
      </c>
      <c r="B996" t="s">
        <v>43</v>
      </c>
      <c r="C996" t="s">
        <v>44</v>
      </c>
      <c r="D996" s="2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s="2" t="str">
        <f t="shared" si="15"/>
        <v>High</v>
      </c>
    </row>
    <row r="997" spans="1:36" x14ac:dyDescent="0.35">
      <c r="A997">
        <v>43</v>
      </c>
      <c r="B997" t="s">
        <v>43</v>
      </c>
      <c r="C997" t="s">
        <v>36</v>
      </c>
      <c r="D997" s="2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s="2" t="str">
        <f t="shared" si="15"/>
        <v>Low</v>
      </c>
    </row>
    <row r="998" spans="1:36" x14ac:dyDescent="0.35">
      <c r="A998">
        <v>27</v>
      </c>
      <c r="B998" t="s">
        <v>43</v>
      </c>
      <c r="C998" t="s">
        <v>36</v>
      </c>
      <c r="D998" s="2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s="2" t="str">
        <f t="shared" si="15"/>
        <v>Medium</v>
      </c>
    </row>
    <row r="999" spans="1:36" x14ac:dyDescent="0.35">
      <c r="A999">
        <v>27</v>
      </c>
      <c r="B999" t="s">
        <v>35</v>
      </c>
      <c r="C999" t="s">
        <v>36</v>
      </c>
      <c r="D999" s="2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s="2" t="str">
        <f t="shared" si="15"/>
        <v>Low</v>
      </c>
    </row>
    <row r="1000" spans="1:36" x14ac:dyDescent="0.35">
      <c r="A1000">
        <v>26</v>
      </c>
      <c r="B1000" t="s">
        <v>43</v>
      </c>
      <c r="C1000" t="s">
        <v>36</v>
      </c>
      <c r="D1000" s="2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s="2" t="str">
        <f t="shared" si="15"/>
        <v>Low</v>
      </c>
    </row>
    <row r="1001" spans="1:36" x14ac:dyDescent="0.35">
      <c r="A1001">
        <v>42</v>
      </c>
      <c r="B1001" t="s">
        <v>43</v>
      </c>
      <c r="C1001" t="s">
        <v>36</v>
      </c>
      <c r="D1001" s="2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s="2" t="str">
        <f t="shared" si="15"/>
        <v>High</v>
      </c>
    </row>
    <row r="1002" spans="1:36" x14ac:dyDescent="0.35">
      <c r="A1002">
        <v>52</v>
      </c>
      <c r="B1002" t="s">
        <v>43</v>
      </c>
      <c r="C1002" t="s">
        <v>36</v>
      </c>
      <c r="D1002" s="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s="2" t="str">
        <f t="shared" si="15"/>
        <v>Low</v>
      </c>
    </row>
    <row r="1003" spans="1:36" x14ac:dyDescent="0.35">
      <c r="A1003">
        <v>37</v>
      </c>
      <c r="B1003" t="s">
        <v>43</v>
      </c>
      <c r="C1003" t="s">
        <v>36</v>
      </c>
      <c r="D1003" s="2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s="2" t="str">
        <f t="shared" si="15"/>
        <v>Low</v>
      </c>
    </row>
    <row r="1004" spans="1:36" x14ac:dyDescent="0.35">
      <c r="A1004">
        <v>35</v>
      </c>
      <c r="B1004" t="s">
        <v>43</v>
      </c>
      <c r="C1004" t="s">
        <v>44</v>
      </c>
      <c r="D1004" s="2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s="2" t="str">
        <f t="shared" si="15"/>
        <v>Medium</v>
      </c>
    </row>
    <row r="1005" spans="1:36" x14ac:dyDescent="0.35">
      <c r="A1005">
        <v>25</v>
      </c>
      <c r="B1005" t="s">
        <v>43</v>
      </c>
      <c r="C1005" t="s">
        <v>36</v>
      </c>
      <c r="D1005" s="2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s="2" t="str">
        <f t="shared" si="15"/>
        <v>Low</v>
      </c>
    </row>
    <row r="1006" spans="1:36" x14ac:dyDescent="0.35">
      <c r="A1006">
        <v>26</v>
      </c>
      <c r="B1006" t="s">
        <v>43</v>
      </c>
      <c r="C1006" t="s">
        <v>36</v>
      </c>
      <c r="D1006" s="2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s="2" t="str">
        <f t="shared" si="15"/>
        <v>Low</v>
      </c>
    </row>
    <row r="1007" spans="1:36" x14ac:dyDescent="0.35">
      <c r="A1007">
        <v>29</v>
      </c>
      <c r="B1007" t="s">
        <v>43</v>
      </c>
      <c r="C1007" t="s">
        <v>36</v>
      </c>
      <c r="D1007" s="2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s="2" t="str">
        <f t="shared" si="15"/>
        <v>Medium</v>
      </c>
    </row>
    <row r="1008" spans="1:36" x14ac:dyDescent="0.35">
      <c r="A1008">
        <v>49</v>
      </c>
      <c r="B1008" t="s">
        <v>35</v>
      </c>
      <c r="C1008" t="s">
        <v>44</v>
      </c>
      <c r="D1008" s="2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s="2" t="str">
        <f t="shared" si="15"/>
        <v>Low</v>
      </c>
    </row>
    <row r="1009" spans="1:36" x14ac:dyDescent="0.35">
      <c r="A1009">
        <v>29</v>
      </c>
      <c r="B1009" t="s">
        <v>35</v>
      </c>
      <c r="C1009" t="s">
        <v>44</v>
      </c>
      <c r="D1009" s="2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s="2" t="str">
        <f t="shared" si="15"/>
        <v>Medium</v>
      </c>
    </row>
    <row r="1010" spans="1:36" x14ac:dyDescent="0.35">
      <c r="A1010">
        <v>54</v>
      </c>
      <c r="B1010" t="s">
        <v>43</v>
      </c>
      <c r="C1010" t="s">
        <v>36</v>
      </c>
      <c r="D1010" s="2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s="2" t="str">
        <f t="shared" si="15"/>
        <v>High</v>
      </c>
    </row>
    <row r="1011" spans="1:36" x14ac:dyDescent="0.35">
      <c r="A1011">
        <v>58</v>
      </c>
      <c r="B1011" t="s">
        <v>43</v>
      </c>
      <c r="C1011" t="s">
        <v>36</v>
      </c>
      <c r="D1011" s="2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s="2" t="str">
        <f t="shared" si="15"/>
        <v>High</v>
      </c>
    </row>
    <row r="1012" spans="1:36" x14ac:dyDescent="0.35">
      <c r="A1012">
        <v>55</v>
      </c>
      <c r="B1012" t="s">
        <v>43</v>
      </c>
      <c r="C1012" t="s">
        <v>36</v>
      </c>
      <c r="D1012" s="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s="2" t="str">
        <f t="shared" si="15"/>
        <v>High</v>
      </c>
    </row>
    <row r="1013" spans="1:36" x14ac:dyDescent="0.35">
      <c r="A1013">
        <v>36</v>
      </c>
      <c r="B1013" t="s">
        <v>43</v>
      </c>
      <c r="C1013" t="s">
        <v>36</v>
      </c>
      <c r="D1013" s="2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s="2" t="str">
        <f t="shared" si="15"/>
        <v>Medium</v>
      </c>
    </row>
    <row r="1014" spans="1:36" x14ac:dyDescent="0.35">
      <c r="A1014">
        <v>31</v>
      </c>
      <c r="B1014" t="s">
        <v>35</v>
      </c>
      <c r="C1014" t="s">
        <v>44</v>
      </c>
      <c r="D1014" s="2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s="2" t="str">
        <f t="shared" si="15"/>
        <v>Low</v>
      </c>
    </row>
    <row r="1015" spans="1:36" x14ac:dyDescent="0.35">
      <c r="A1015">
        <v>30</v>
      </c>
      <c r="B1015" t="s">
        <v>43</v>
      </c>
      <c r="C1015" t="s">
        <v>36</v>
      </c>
      <c r="D1015" s="2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s="2" t="str">
        <f t="shared" si="15"/>
        <v>Low</v>
      </c>
    </row>
    <row r="1016" spans="1:36" x14ac:dyDescent="0.35">
      <c r="A1016">
        <v>31</v>
      </c>
      <c r="B1016" t="s">
        <v>43</v>
      </c>
      <c r="C1016" t="s">
        <v>36</v>
      </c>
      <c r="D1016" s="2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s="2" t="str">
        <f t="shared" si="15"/>
        <v>High</v>
      </c>
    </row>
    <row r="1017" spans="1:36" x14ac:dyDescent="0.35">
      <c r="A1017">
        <v>34</v>
      </c>
      <c r="B1017" t="s">
        <v>43</v>
      </c>
      <c r="C1017" t="s">
        <v>44</v>
      </c>
      <c r="D1017" s="2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s="2" t="str">
        <f t="shared" si="15"/>
        <v>Low</v>
      </c>
    </row>
    <row r="1018" spans="1:36" x14ac:dyDescent="0.35">
      <c r="A1018">
        <v>31</v>
      </c>
      <c r="B1018" t="s">
        <v>35</v>
      </c>
      <c r="C1018" t="s">
        <v>36</v>
      </c>
      <c r="D1018" s="2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s="2" t="str">
        <f t="shared" si="15"/>
        <v>Low</v>
      </c>
    </row>
    <row r="1019" spans="1:36" x14ac:dyDescent="0.35">
      <c r="A1019">
        <v>27</v>
      </c>
      <c r="B1019" t="s">
        <v>43</v>
      </c>
      <c r="C1019" t="s">
        <v>36</v>
      </c>
      <c r="D1019" s="2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s="2" t="str">
        <f t="shared" si="15"/>
        <v>Low</v>
      </c>
    </row>
    <row r="1020" spans="1:36" x14ac:dyDescent="0.35">
      <c r="A1020">
        <v>36</v>
      </c>
      <c r="B1020" t="s">
        <v>43</v>
      </c>
      <c r="C1020" t="s">
        <v>36</v>
      </c>
      <c r="D1020" s="2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s="2" t="str">
        <f t="shared" si="15"/>
        <v>Medium</v>
      </c>
    </row>
    <row r="1021" spans="1:36" x14ac:dyDescent="0.35">
      <c r="A1021">
        <v>36</v>
      </c>
      <c r="B1021" t="s">
        <v>43</v>
      </c>
      <c r="C1021" t="s">
        <v>36</v>
      </c>
      <c r="D1021" s="2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s="2" t="str">
        <f t="shared" si="15"/>
        <v>Medium</v>
      </c>
    </row>
    <row r="1022" spans="1:36" x14ac:dyDescent="0.35">
      <c r="A1022">
        <v>47</v>
      </c>
      <c r="B1022" t="s">
        <v>43</v>
      </c>
      <c r="C1022" t="s">
        <v>36</v>
      </c>
      <c r="D1022" s="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s="2" t="str">
        <f t="shared" si="15"/>
        <v>Low</v>
      </c>
    </row>
    <row r="1023" spans="1:36" x14ac:dyDescent="0.35">
      <c r="A1023">
        <v>25</v>
      </c>
      <c r="B1023" t="s">
        <v>35</v>
      </c>
      <c r="C1023" t="s">
        <v>36</v>
      </c>
      <c r="D1023" s="2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s="2" t="str">
        <f t="shared" si="15"/>
        <v>Low</v>
      </c>
    </row>
    <row r="1024" spans="1:36" x14ac:dyDescent="0.35">
      <c r="A1024">
        <v>37</v>
      </c>
      <c r="B1024" t="s">
        <v>43</v>
      </c>
      <c r="C1024" t="s">
        <v>55</v>
      </c>
      <c r="D1024" s="2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s="2" t="str">
        <f t="shared" si="15"/>
        <v>Low</v>
      </c>
    </row>
    <row r="1025" spans="1:36" x14ac:dyDescent="0.35">
      <c r="A1025">
        <v>56</v>
      </c>
      <c r="B1025" t="s">
        <v>43</v>
      </c>
      <c r="C1025" t="s">
        <v>36</v>
      </c>
      <c r="D1025" s="2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s="2" t="str">
        <f t="shared" si="15"/>
        <v>Low</v>
      </c>
    </row>
    <row r="1026" spans="1:36" x14ac:dyDescent="0.35">
      <c r="A1026">
        <v>47</v>
      </c>
      <c r="B1026" t="s">
        <v>43</v>
      </c>
      <c r="C1026" t="s">
        <v>36</v>
      </c>
      <c r="D1026" s="2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s="2" t="str">
        <f t="shared" ref="AJ1026:AJ1089" si="16">IF(S1026&lt;5000,"Low",IF(S1026&lt;10000,"Medium","High"))</f>
        <v>High</v>
      </c>
    </row>
    <row r="1027" spans="1:36" x14ac:dyDescent="0.35">
      <c r="A1027">
        <v>24</v>
      </c>
      <c r="B1027" t="s">
        <v>43</v>
      </c>
      <c r="C1027" t="s">
        <v>36</v>
      </c>
      <c r="D1027" s="2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s="2" t="str">
        <f t="shared" si="16"/>
        <v>Low</v>
      </c>
    </row>
    <row r="1028" spans="1:36" x14ac:dyDescent="0.35">
      <c r="A1028">
        <v>32</v>
      </c>
      <c r="B1028" t="s">
        <v>43</v>
      </c>
      <c r="C1028" t="s">
        <v>36</v>
      </c>
      <c r="D1028" s="2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s="2" t="str">
        <f t="shared" si="16"/>
        <v>Medium</v>
      </c>
    </row>
    <row r="1029" spans="1:36" x14ac:dyDescent="0.35">
      <c r="A1029">
        <v>34</v>
      </c>
      <c r="B1029" t="s">
        <v>43</v>
      </c>
      <c r="C1029" t="s">
        <v>36</v>
      </c>
      <c r="D1029" s="2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s="2" t="str">
        <f t="shared" si="16"/>
        <v>Low</v>
      </c>
    </row>
    <row r="1030" spans="1:36" x14ac:dyDescent="0.35">
      <c r="A1030">
        <v>41</v>
      </c>
      <c r="B1030" t="s">
        <v>43</v>
      </c>
      <c r="C1030" t="s">
        <v>36</v>
      </c>
      <c r="D1030" s="2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s="2" t="str">
        <f t="shared" si="16"/>
        <v>Low</v>
      </c>
    </row>
    <row r="1031" spans="1:36" x14ac:dyDescent="0.35">
      <c r="A1031">
        <v>40</v>
      </c>
      <c r="B1031" t="s">
        <v>43</v>
      </c>
      <c r="C1031" t="s">
        <v>55</v>
      </c>
      <c r="D1031" s="2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s="2" t="str">
        <f t="shared" si="16"/>
        <v>Low</v>
      </c>
    </row>
    <row r="1032" spans="1:36" x14ac:dyDescent="0.35">
      <c r="A1032">
        <v>31</v>
      </c>
      <c r="B1032" t="s">
        <v>43</v>
      </c>
      <c r="C1032" t="s">
        <v>36</v>
      </c>
      <c r="D1032" s="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s="2" t="str">
        <f t="shared" si="16"/>
        <v>High</v>
      </c>
    </row>
    <row r="1033" spans="1:36" x14ac:dyDescent="0.35">
      <c r="A1033">
        <v>46</v>
      </c>
      <c r="B1033" t="s">
        <v>35</v>
      </c>
      <c r="C1033" t="s">
        <v>36</v>
      </c>
      <c r="D1033" s="2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s="2" t="str">
        <f t="shared" si="16"/>
        <v>High</v>
      </c>
    </row>
    <row r="1034" spans="1:36" x14ac:dyDescent="0.35">
      <c r="A1034">
        <v>39</v>
      </c>
      <c r="B1034" t="s">
        <v>35</v>
      </c>
      <c r="C1034" t="s">
        <v>55</v>
      </c>
      <c r="D1034" s="2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s="2" t="str">
        <f t="shared" si="16"/>
        <v>Low</v>
      </c>
    </row>
    <row r="1035" spans="1:36" x14ac:dyDescent="0.35">
      <c r="A1035">
        <v>31</v>
      </c>
      <c r="B1035" t="s">
        <v>35</v>
      </c>
      <c r="C1035" t="s">
        <v>44</v>
      </c>
      <c r="D1035" s="2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s="2" t="str">
        <f t="shared" si="16"/>
        <v>Medium</v>
      </c>
    </row>
    <row r="1036" spans="1:36" x14ac:dyDescent="0.35">
      <c r="A1036">
        <v>45</v>
      </c>
      <c r="B1036" t="s">
        <v>43</v>
      </c>
      <c r="C1036" t="s">
        <v>36</v>
      </c>
      <c r="D1036" s="2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s="2" t="str">
        <f t="shared" si="16"/>
        <v>High</v>
      </c>
    </row>
    <row r="1037" spans="1:36" x14ac:dyDescent="0.35">
      <c r="A1037">
        <v>31</v>
      </c>
      <c r="B1037" t="s">
        <v>43</v>
      </c>
      <c r="C1037" t="s">
        <v>36</v>
      </c>
      <c r="D1037" s="2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s="2" t="str">
        <f t="shared" si="16"/>
        <v>Low</v>
      </c>
    </row>
    <row r="1038" spans="1:36" x14ac:dyDescent="0.35">
      <c r="A1038">
        <v>31</v>
      </c>
      <c r="B1038" t="s">
        <v>35</v>
      </c>
      <c r="C1038" t="s">
        <v>44</v>
      </c>
      <c r="D1038" s="2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s="2" t="str">
        <f t="shared" si="16"/>
        <v>Low</v>
      </c>
    </row>
    <row r="1039" spans="1:36" x14ac:dyDescent="0.35">
      <c r="A1039">
        <v>45</v>
      </c>
      <c r="B1039" t="s">
        <v>43</v>
      </c>
      <c r="C1039" t="s">
        <v>36</v>
      </c>
      <c r="D1039" s="2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s="2" t="str">
        <f t="shared" si="16"/>
        <v>Medium</v>
      </c>
    </row>
    <row r="1040" spans="1:36" x14ac:dyDescent="0.35">
      <c r="A1040">
        <v>48</v>
      </c>
      <c r="B1040" t="s">
        <v>43</v>
      </c>
      <c r="C1040" t="s">
        <v>36</v>
      </c>
      <c r="D1040" s="2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s="2" t="str">
        <f t="shared" si="16"/>
        <v>Medium</v>
      </c>
    </row>
    <row r="1041" spans="1:36" x14ac:dyDescent="0.35">
      <c r="A1041">
        <v>34</v>
      </c>
      <c r="B1041" t="s">
        <v>35</v>
      </c>
      <c r="C1041" t="s">
        <v>36</v>
      </c>
      <c r="D1041" s="2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s="2" t="str">
        <f t="shared" si="16"/>
        <v>Low</v>
      </c>
    </row>
    <row r="1042" spans="1:36" x14ac:dyDescent="0.35">
      <c r="A1042">
        <v>40</v>
      </c>
      <c r="B1042" t="s">
        <v>43</v>
      </c>
      <c r="C1042" t="s">
        <v>55</v>
      </c>
      <c r="D1042" s="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s="2" t="str">
        <f t="shared" si="16"/>
        <v>High</v>
      </c>
    </row>
    <row r="1043" spans="1:36" x14ac:dyDescent="0.35">
      <c r="A1043">
        <v>28</v>
      </c>
      <c r="B1043" t="s">
        <v>43</v>
      </c>
      <c r="C1043" t="s">
        <v>36</v>
      </c>
      <c r="D1043" s="2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s="2" t="str">
        <f t="shared" si="16"/>
        <v>Medium</v>
      </c>
    </row>
    <row r="1044" spans="1:36" x14ac:dyDescent="0.35">
      <c r="A1044">
        <v>44</v>
      </c>
      <c r="B1044" t="s">
        <v>43</v>
      </c>
      <c r="C1044" t="s">
        <v>55</v>
      </c>
      <c r="D1044" s="2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s="2" t="str">
        <f t="shared" si="16"/>
        <v>Low</v>
      </c>
    </row>
    <row r="1045" spans="1:36" x14ac:dyDescent="0.35">
      <c r="A1045">
        <v>53</v>
      </c>
      <c r="B1045" t="s">
        <v>43</v>
      </c>
      <c r="C1045" t="s">
        <v>36</v>
      </c>
      <c r="D1045" s="2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s="2" t="str">
        <f t="shared" si="16"/>
        <v>High</v>
      </c>
    </row>
    <row r="1046" spans="1:36" x14ac:dyDescent="0.35">
      <c r="A1046">
        <v>49</v>
      </c>
      <c r="B1046" t="s">
        <v>43</v>
      </c>
      <c r="C1046" t="s">
        <v>36</v>
      </c>
      <c r="D1046" s="2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s="2" t="str">
        <f t="shared" si="16"/>
        <v>Medium</v>
      </c>
    </row>
    <row r="1047" spans="1:36" x14ac:dyDescent="0.35">
      <c r="A1047">
        <v>40</v>
      </c>
      <c r="B1047" t="s">
        <v>43</v>
      </c>
      <c r="C1047" t="s">
        <v>36</v>
      </c>
      <c r="D1047" s="2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s="2" t="str">
        <f t="shared" si="16"/>
        <v>Low</v>
      </c>
    </row>
    <row r="1048" spans="1:36" x14ac:dyDescent="0.35">
      <c r="A1048">
        <v>44</v>
      </c>
      <c r="B1048" t="s">
        <v>43</v>
      </c>
      <c r="C1048" t="s">
        <v>36</v>
      </c>
      <c r="D1048" s="2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s="2" t="str">
        <f t="shared" si="16"/>
        <v>Low</v>
      </c>
    </row>
    <row r="1049" spans="1:36" x14ac:dyDescent="0.35">
      <c r="A1049">
        <v>33</v>
      </c>
      <c r="B1049" t="s">
        <v>43</v>
      </c>
      <c r="C1049" t="s">
        <v>44</v>
      </c>
      <c r="D1049" s="2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s="2" t="str">
        <f t="shared" si="16"/>
        <v>Low</v>
      </c>
    </row>
    <row r="1050" spans="1:36" x14ac:dyDescent="0.35">
      <c r="A1050">
        <v>34</v>
      </c>
      <c r="B1050" t="s">
        <v>43</v>
      </c>
      <c r="C1050" t="s">
        <v>36</v>
      </c>
      <c r="D1050" s="2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s="2" t="str">
        <f t="shared" si="16"/>
        <v>Low</v>
      </c>
    </row>
    <row r="1051" spans="1:36" x14ac:dyDescent="0.35">
      <c r="A1051">
        <v>30</v>
      </c>
      <c r="B1051" t="s">
        <v>43</v>
      </c>
      <c r="C1051" t="s">
        <v>36</v>
      </c>
      <c r="D1051" s="2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s="2" t="str">
        <f t="shared" si="16"/>
        <v>Medium</v>
      </c>
    </row>
    <row r="1052" spans="1:36" x14ac:dyDescent="0.35">
      <c r="A1052">
        <v>42</v>
      </c>
      <c r="B1052" t="s">
        <v>43</v>
      </c>
      <c r="C1052" t="s">
        <v>44</v>
      </c>
      <c r="D1052" s="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s="2" t="str">
        <f t="shared" si="16"/>
        <v>Low</v>
      </c>
    </row>
    <row r="1053" spans="1:36" x14ac:dyDescent="0.35">
      <c r="A1053">
        <v>44</v>
      </c>
      <c r="B1053" t="s">
        <v>43</v>
      </c>
      <c r="C1053" t="s">
        <v>44</v>
      </c>
      <c r="D1053" s="2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s="2" t="str">
        <f t="shared" si="16"/>
        <v>Low</v>
      </c>
    </row>
    <row r="1054" spans="1:36" x14ac:dyDescent="0.35">
      <c r="A1054">
        <v>30</v>
      </c>
      <c r="B1054" t="s">
        <v>43</v>
      </c>
      <c r="C1054" t="s">
        <v>55</v>
      </c>
      <c r="D1054" s="2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s="2" t="str">
        <f t="shared" si="16"/>
        <v>Low</v>
      </c>
    </row>
    <row r="1055" spans="1:36" x14ac:dyDescent="0.35">
      <c r="A1055">
        <v>57</v>
      </c>
      <c r="B1055" t="s">
        <v>43</v>
      </c>
      <c r="C1055" t="s">
        <v>36</v>
      </c>
      <c r="D1055" s="2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s="2" t="str">
        <f t="shared" si="16"/>
        <v>Low</v>
      </c>
    </row>
    <row r="1056" spans="1:36" x14ac:dyDescent="0.35">
      <c r="A1056">
        <v>49</v>
      </c>
      <c r="B1056" t="s">
        <v>43</v>
      </c>
      <c r="C1056" t="s">
        <v>36</v>
      </c>
      <c r="D1056" s="2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s="2" t="str">
        <f t="shared" si="16"/>
        <v>High</v>
      </c>
    </row>
    <row r="1057" spans="1:36" x14ac:dyDescent="0.35">
      <c r="A1057">
        <v>34</v>
      </c>
      <c r="B1057" t="s">
        <v>43</v>
      </c>
      <c r="C1057" t="s">
        <v>44</v>
      </c>
      <c r="D1057" s="2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s="2" t="str">
        <f t="shared" si="16"/>
        <v>High</v>
      </c>
    </row>
    <row r="1058" spans="1:36" x14ac:dyDescent="0.35">
      <c r="A1058">
        <v>28</v>
      </c>
      <c r="B1058" t="s">
        <v>35</v>
      </c>
      <c r="C1058" t="s">
        <v>44</v>
      </c>
      <c r="D1058" s="2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s="2" t="str">
        <f t="shared" si="16"/>
        <v>Low</v>
      </c>
    </row>
    <row r="1059" spans="1:36" x14ac:dyDescent="0.35">
      <c r="A1059">
        <v>29</v>
      </c>
      <c r="B1059" t="s">
        <v>35</v>
      </c>
      <c r="C1059" t="s">
        <v>44</v>
      </c>
      <c r="D1059" s="2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s="2" t="str">
        <f t="shared" si="16"/>
        <v>Medium</v>
      </c>
    </row>
    <row r="1060" spans="1:36" x14ac:dyDescent="0.35">
      <c r="A1060">
        <v>34</v>
      </c>
      <c r="B1060" t="s">
        <v>35</v>
      </c>
      <c r="C1060" t="s">
        <v>36</v>
      </c>
      <c r="D1060" s="2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s="2" t="str">
        <f t="shared" si="16"/>
        <v>Low</v>
      </c>
    </row>
    <row r="1061" spans="1:36" x14ac:dyDescent="0.35">
      <c r="A1061">
        <v>35</v>
      </c>
      <c r="B1061" t="s">
        <v>43</v>
      </c>
      <c r="C1061" t="s">
        <v>36</v>
      </c>
      <c r="D1061" s="2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s="2" t="str">
        <f t="shared" si="16"/>
        <v>Low</v>
      </c>
    </row>
    <row r="1062" spans="1:36" x14ac:dyDescent="0.35">
      <c r="A1062">
        <v>24</v>
      </c>
      <c r="B1062" t="s">
        <v>35</v>
      </c>
      <c r="C1062" t="s">
        <v>44</v>
      </c>
      <c r="D1062" s="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s="2" t="str">
        <f t="shared" si="16"/>
        <v>Low</v>
      </c>
    </row>
    <row r="1063" spans="1:36" x14ac:dyDescent="0.35">
      <c r="A1063">
        <v>24</v>
      </c>
      <c r="B1063" t="s">
        <v>43</v>
      </c>
      <c r="C1063" t="s">
        <v>55</v>
      </c>
      <c r="D1063" s="2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s="2" t="str">
        <f t="shared" si="16"/>
        <v>Low</v>
      </c>
    </row>
    <row r="1064" spans="1:36" x14ac:dyDescent="0.35">
      <c r="A1064">
        <v>44</v>
      </c>
      <c r="B1064" t="s">
        <v>43</v>
      </c>
      <c r="C1064" t="s">
        <v>44</v>
      </c>
      <c r="D1064" s="2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s="2" t="str">
        <f t="shared" si="16"/>
        <v>High</v>
      </c>
    </row>
    <row r="1065" spans="1:36" x14ac:dyDescent="0.35">
      <c r="A1065">
        <v>29</v>
      </c>
      <c r="B1065" t="s">
        <v>43</v>
      </c>
      <c r="C1065" t="s">
        <v>36</v>
      </c>
      <c r="D1065" s="2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s="2" t="str">
        <f t="shared" si="16"/>
        <v>Medium</v>
      </c>
    </row>
    <row r="1066" spans="1:36" x14ac:dyDescent="0.35">
      <c r="A1066">
        <v>30</v>
      </c>
      <c r="B1066" t="s">
        <v>43</v>
      </c>
      <c r="C1066" t="s">
        <v>36</v>
      </c>
      <c r="D1066" s="2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s="2" t="str">
        <f t="shared" si="16"/>
        <v>Low</v>
      </c>
    </row>
    <row r="1067" spans="1:36" x14ac:dyDescent="0.35">
      <c r="A1067">
        <v>55</v>
      </c>
      <c r="B1067" t="s">
        <v>43</v>
      </c>
      <c r="C1067" t="s">
        <v>36</v>
      </c>
      <c r="D1067" s="2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s="2" t="str">
        <f t="shared" si="16"/>
        <v>Low</v>
      </c>
    </row>
    <row r="1068" spans="1:36" x14ac:dyDescent="0.35">
      <c r="A1068">
        <v>33</v>
      </c>
      <c r="B1068" t="s">
        <v>43</v>
      </c>
      <c r="C1068" t="s">
        <v>36</v>
      </c>
      <c r="D1068" s="2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s="2" t="str">
        <f t="shared" si="16"/>
        <v>Low</v>
      </c>
    </row>
    <row r="1069" spans="1:36" x14ac:dyDescent="0.35">
      <c r="A1069">
        <v>47</v>
      </c>
      <c r="B1069" t="s">
        <v>43</v>
      </c>
      <c r="C1069" t="s">
        <v>36</v>
      </c>
      <c r="D1069" s="2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s="2" t="str">
        <f t="shared" si="16"/>
        <v>Low</v>
      </c>
    </row>
    <row r="1070" spans="1:36" x14ac:dyDescent="0.35">
      <c r="A1070">
        <v>28</v>
      </c>
      <c r="B1070" t="s">
        <v>35</v>
      </c>
      <c r="C1070" t="s">
        <v>44</v>
      </c>
      <c r="D1070" s="2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s="2" t="str">
        <f t="shared" si="16"/>
        <v>Low</v>
      </c>
    </row>
    <row r="1071" spans="1:36" x14ac:dyDescent="0.35">
      <c r="A1071">
        <v>28</v>
      </c>
      <c r="B1071" t="s">
        <v>43</v>
      </c>
      <c r="C1071" t="s">
        <v>36</v>
      </c>
      <c r="D1071" s="2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s="2" t="str">
        <f t="shared" si="16"/>
        <v>Low</v>
      </c>
    </row>
    <row r="1072" spans="1:36" x14ac:dyDescent="0.35">
      <c r="A1072">
        <v>28</v>
      </c>
      <c r="B1072" t="s">
        <v>43</v>
      </c>
      <c r="C1072" t="s">
        <v>44</v>
      </c>
      <c r="D1072" s="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s="2" t="str">
        <f t="shared" si="16"/>
        <v>Low</v>
      </c>
    </row>
    <row r="1073" spans="1:36" x14ac:dyDescent="0.35">
      <c r="A1073">
        <v>49</v>
      </c>
      <c r="B1073" t="s">
        <v>43</v>
      </c>
      <c r="C1073" t="s">
        <v>36</v>
      </c>
      <c r="D1073" s="2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s="2" t="str">
        <f t="shared" si="16"/>
        <v>Low</v>
      </c>
    </row>
    <row r="1074" spans="1:36" x14ac:dyDescent="0.35">
      <c r="A1074">
        <v>29</v>
      </c>
      <c r="B1074" t="s">
        <v>43</v>
      </c>
      <c r="C1074" t="s">
        <v>44</v>
      </c>
      <c r="D1074" s="2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s="2" t="str">
        <f t="shared" si="16"/>
        <v>Low</v>
      </c>
    </row>
    <row r="1075" spans="1:36" x14ac:dyDescent="0.35">
      <c r="A1075">
        <v>28</v>
      </c>
      <c r="B1075" t="s">
        <v>43</v>
      </c>
      <c r="C1075" t="s">
        <v>36</v>
      </c>
      <c r="D1075" s="2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s="2" t="str">
        <f t="shared" si="16"/>
        <v>Medium</v>
      </c>
    </row>
    <row r="1076" spans="1:36" x14ac:dyDescent="0.35">
      <c r="A1076">
        <v>33</v>
      </c>
      <c r="B1076" t="s">
        <v>43</v>
      </c>
      <c r="C1076" t="s">
        <v>36</v>
      </c>
      <c r="D1076" s="2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s="2" t="str">
        <f t="shared" si="16"/>
        <v>Medium</v>
      </c>
    </row>
    <row r="1077" spans="1:36" x14ac:dyDescent="0.35">
      <c r="A1077">
        <v>32</v>
      </c>
      <c r="B1077" t="s">
        <v>43</v>
      </c>
      <c r="C1077" t="s">
        <v>36</v>
      </c>
      <c r="D1077" s="2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s="2" t="str">
        <f t="shared" si="16"/>
        <v>High</v>
      </c>
    </row>
    <row r="1078" spans="1:36" x14ac:dyDescent="0.35">
      <c r="A1078">
        <v>54</v>
      </c>
      <c r="B1078" t="s">
        <v>43</v>
      </c>
      <c r="C1078" t="s">
        <v>44</v>
      </c>
      <c r="D1078" s="2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s="2" t="str">
        <f t="shared" si="16"/>
        <v>High</v>
      </c>
    </row>
    <row r="1079" spans="1:36" x14ac:dyDescent="0.35">
      <c r="A1079">
        <v>29</v>
      </c>
      <c r="B1079" t="s">
        <v>35</v>
      </c>
      <c r="C1079" t="s">
        <v>36</v>
      </c>
      <c r="D1079" s="2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s="2" t="str">
        <f t="shared" si="16"/>
        <v>Low</v>
      </c>
    </row>
    <row r="1080" spans="1:36" x14ac:dyDescent="0.35">
      <c r="A1080">
        <v>44</v>
      </c>
      <c r="B1080" t="s">
        <v>43</v>
      </c>
      <c r="C1080" t="s">
        <v>36</v>
      </c>
      <c r="D1080" s="2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s="2" t="str">
        <f t="shared" si="16"/>
        <v>High</v>
      </c>
    </row>
    <row r="1081" spans="1:36" x14ac:dyDescent="0.35">
      <c r="A1081">
        <v>39</v>
      </c>
      <c r="B1081" t="s">
        <v>43</v>
      </c>
      <c r="C1081" t="s">
        <v>36</v>
      </c>
      <c r="D1081" s="2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s="2" t="str">
        <f t="shared" si="16"/>
        <v>Medium</v>
      </c>
    </row>
    <row r="1082" spans="1:36" x14ac:dyDescent="0.35">
      <c r="A1082">
        <v>46</v>
      </c>
      <c r="B1082" t="s">
        <v>43</v>
      </c>
      <c r="C1082" t="s">
        <v>36</v>
      </c>
      <c r="D1082" s="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s="2" t="str">
        <f t="shared" si="16"/>
        <v>High</v>
      </c>
    </row>
    <row r="1083" spans="1:36" x14ac:dyDescent="0.35">
      <c r="A1083">
        <v>35</v>
      </c>
      <c r="B1083" t="s">
        <v>43</v>
      </c>
      <c r="C1083" t="s">
        <v>36</v>
      </c>
      <c r="D1083" s="2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s="2" t="str">
        <f t="shared" si="16"/>
        <v>Medium</v>
      </c>
    </row>
    <row r="1084" spans="1:36" x14ac:dyDescent="0.35">
      <c r="A1084">
        <v>23</v>
      </c>
      <c r="B1084" t="s">
        <v>43</v>
      </c>
      <c r="C1084" t="s">
        <v>36</v>
      </c>
      <c r="D1084" s="2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s="2" t="str">
        <f t="shared" si="16"/>
        <v>Low</v>
      </c>
    </row>
    <row r="1085" spans="1:36" x14ac:dyDescent="0.35">
      <c r="A1085">
        <v>40</v>
      </c>
      <c r="B1085" t="s">
        <v>35</v>
      </c>
      <c r="C1085" t="s">
        <v>36</v>
      </c>
      <c r="D1085" s="2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s="2" t="str">
        <f t="shared" si="16"/>
        <v>Low</v>
      </c>
    </row>
    <row r="1086" spans="1:36" x14ac:dyDescent="0.35">
      <c r="A1086">
        <v>34</v>
      </c>
      <c r="B1086" t="s">
        <v>43</v>
      </c>
      <c r="C1086" t="s">
        <v>36</v>
      </c>
      <c r="D1086" s="2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s="2" t="str">
        <f t="shared" si="16"/>
        <v>Medium</v>
      </c>
    </row>
    <row r="1087" spans="1:36" x14ac:dyDescent="0.35">
      <c r="A1087">
        <v>31</v>
      </c>
      <c r="B1087" t="s">
        <v>35</v>
      </c>
      <c r="C1087" t="s">
        <v>44</v>
      </c>
      <c r="D1087" s="2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s="2" t="str">
        <f t="shared" si="16"/>
        <v>Low</v>
      </c>
    </row>
    <row r="1088" spans="1:36" x14ac:dyDescent="0.35">
      <c r="A1088">
        <v>50</v>
      </c>
      <c r="B1088" t="s">
        <v>43</v>
      </c>
      <c r="C1088" t="s">
        <v>44</v>
      </c>
      <c r="D1088" s="2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s="2" t="str">
        <f t="shared" si="16"/>
        <v>High</v>
      </c>
    </row>
    <row r="1089" spans="1:36" x14ac:dyDescent="0.35">
      <c r="A1089">
        <v>34</v>
      </c>
      <c r="B1089" t="s">
        <v>43</v>
      </c>
      <c r="C1089" t="s">
        <v>36</v>
      </c>
      <c r="D1089" s="2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s="2" t="str">
        <f t="shared" si="16"/>
        <v>Low</v>
      </c>
    </row>
    <row r="1090" spans="1:36" x14ac:dyDescent="0.35">
      <c r="A1090">
        <v>42</v>
      </c>
      <c r="B1090" t="s">
        <v>43</v>
      </c>
      <c r="C1090" t="s">
        <v>36</v>
      </c>
      <c r="D1090" s="2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s="2" t="str">
        <f t="shared" ref="AJ1090:AJ1153" si="17">IF(S1090&lt;5000,"Low",IF(S1090&lt;10000,"Medium","High"))</f>
        <v>Low</v>
      </c>
    </row>
    <row r="1091" spans="1:36" x14ac:dyDescent="0.35">
      <c r="A1091">
        <v>37</v>
      </c>
      <c r="B1091" t="s">
        <v>43</v>
      </c>
      <c r="C1091" t="s">
        <v>36</v>
      </c>
      <c r="D1091" s="2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s="2" t="str">
        <f t="shared" si="17"/>
        <v>Low</v>
      </c>
    </row>
    <row r="1092" spans="1:36" x14ac:dyDescent="0.35">
      <c r="A1092">
        <v>29</v>
      </c>
      <c r="B1092" t="s">
        <v>43</v>
      </c>
      <c r="C1092" t="s">
        <v>36</v>
      </c>
      <c r="D1092" s="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s="2" t="str">
        <f t="shared" si="17"/>
        <v>Medium</v>
      </c>
    </row>
    <row r="1093" spans="1:36" x14ac:dyDescent="0.35">
      <c r="A1093">
        <v>33</v>
      </c>
      <c r="B1093" t="s">
        <v>43</v>
      </c>
      <c r="C1093" t="s">
        <v>36</v>
      </c>
      <c r="D1093" s="2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s="2" t="str">
        <f t="shared" si="17"/>
        <v>Low</v>
      </c>
    </row>
    <row r="1094" spans="1:36" x14ac:dyDescent="0.35">
      <c r="A1094">
        <v>45</v>
      </c>
      <c r="B1094" t="s">
        <v>43</v>
      </c>
      <c r="C1094" t="s">
        <v>36</v>
      </c>
      <c r="D1094" s="2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s="2" t="str">
        <f t="shared" si="17"/>
        <v>Low</v>
      </c>
    </row>
    <row r="1095" spans="1:36" x14ac:dyDescent="0.35">
      <c r="A1095">
        <v>42</v>
      </c>
      <c r="B1095" t="s">
        <v>43</v>
      </c>
      <c r="C1095" t="s">
        <v>44</v>
      </c>
      <c r="D1095" s="2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s="2" t="str">
        <f t="shared" si="17"/>
        <v>High</v>
      </c>
    </row>
    <row r="1096" spans="1:36" x14ac:dyDescent="0.35">
      <c r="A1096">
        <v>40</v>
      </c>
      <c r="B1096" t="s">
        <v>43</v>
      </c>
      <c r="C1096" t="s">
        <v>36</v>
      </c>
      <c r="D1096" s="2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s="2" t="str">
        <f t="shared" si="17"/>
        <v>Medium</v>
      </c>
    </row>
    <row r="1097" spans="1:36" x14ac:dyDescent="0.35">
      <c r="A1097">
        <v>33</v>
      </c>
      <c r="B1097" t="s">
        <v>43</v>
      </c>
      <c r="C1097" t="s">
        <v>36</v>
      </c>
      <c r="D1097" s="2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s="2" t="str">
        <f t="shared" si="17"/>
        <v>Medium</v>
      </c>
    </row>
    <row r="1098" spans="1:36" x14ac:dyDescent="0.35">
      <c r="A1098">
        <v>40</v>
      </c>
      <c r="B1098" t="s">
        <v>43</v>
      </c>
      <c r="C1098" t="s">
        <v>36</v>
      </c>
      <c r="D1098" s="2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s="2" t="str">
        <f t="shared" si="17"/>
        <v>High</v>
      </c>
    </row>
    <row r="1099" spans="1:36" x14ac:dyDescent="0.35">
      <c r="A1099">
        <v>24</v>
      </c>
      <c r="B1099" t="s">
        <v>43</v>
      </c>
      <c r="C1099" t="s">
        <v>36</v>
      </c>
      <c r="D1099" s="2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s="2" t="str">
        <f t="shared" si="17"/>
        <v>Low</v>
      </c>
    </row>
    <row r="1100" spans="1:36" x14ac:dyDescent="0.35">
      <c r="A1100">
        <v>40</v>
      </c>
      <c r="B1100" t="s">
        <v>43</v>
      </c>
      <c r="C1100" t="s">
        <v>55</v>
      </c>
      <c r="D1100" s="2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s="2" t="str">
        <f t="shared" si="17"/>
        <v>Low</v>
      </c>
    </row>
    <row r="1101" spans="1:36" x14ac:dyDescent="0.35">
      <c r="A1101">
        <v>45</v>
      </c>
      <c r="B1101" t="s">
        <v>43</v>
      </c>
      <c r="C1101" t="s">
        <v>36</v>
      </c>
      <c r="D1101" s="2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s="2" t="str">
        <f t="shared" si="17"/>
        <v>Medium</v>
      </c>
    </row>
    <row r="1102" spans="1:36" x14ac:dyDescent="0.35">
      <c r="A1102">
        <v>35</v>
      </c>
      <c r="B1102" t="s">
        <v>43</v>
      </c>
      <c r="C1102" t="s">
        <v>36</v>
      </c>
      <c r="D1102" s="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s="2" t="str">
        <f t="shared" si="17"/>
        <v>Low</v>
      </c>
    </row>
    <row r="1103" spans="1:36" x14ac:dyDescent="0.35">
      <c r="A1103">
        <v>32</v>
      </c>
      <c r="B1103" t="s">
        <v>43</v>
      </c>
      <c r="C1103" t="s">
        <v>36</v>
      </c>
      <c r="D1103" s="2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s="2" t="str">
        <f t="shared" si="17"/>
        <v>Medium</v>
      </c>
    </row>
    <row r="1104" spans="1:36" x14ac:dyDescent="0.35">
      <c r="A1104">
        <v>36</v>
      </c>
      <c r="B1104" t="s">
        <v>43</v>
      </c>
      <c r="C1104" t="s">
        <v>36</v>
      </c>
      <c r="D1104" s="2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s="2" t="str">
        <f t="shared" si="17"/>
        <v>Low</v>
      </c>
    </row>
    <row r="1105" spans="1:36" x14ac:dyDescent="0.35">
      <c r="A1105">
        <v>48</v>
      </c>
      <c r="B1105" t="s">
        <v>43</v>
      </c>
      <c r="C1105" t="s">
        <v>36</v>
      </c>
      <c r="D1105" s="2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s="2" t="str">
        <f t="shared" si="17"/>
        <v>Medium</v>
      </c>
    </row>
    <row r="1106" spans="1:36" x14ac:dyDescent="0.35">
      <c r="A1106">
        <v>29</v>
      </c>
      <c r="B1106" t="s">
        <v>43</v>
      </c>
      <c r="C1106" t="s">
        <v>36</v>
      </c>
      <c r="D1106" s="2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s="2" t="str">
        <f t="shared" si="17"/>
        <v>Low</v>
      </c>
    </row>
    <row r="1107" spans="1:36" x14ac:dyDescent="0.35">
      <c r="A1107">
        <v>33</v>
      </c>
      <c r="B1107" t="s">
        <v>43</v>
      </c>
      <c r="C1107" t="s">
        <v>36</v>
      </c>
      <c r="D1107" s="2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s="2" t="str">
        <f t="shared" si="17"/>
        <v>Medium</v>
      </c>
    </row>
    <row r="1108" spans="1:36" x14ac:dyDescent="0.35">
      <c r="A1108">
        <v>30</v>
      </c>
      <c r="B1108" t="s">
        <v>35</v>
      </c>
      <c r="C1108" t="s">
        <v>36</v>
      </c>
      <c r="D1108" s="2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s="2" t="str">
        <f t="shared" si="17"/>
        <v>Medium</v>
      </c>
    </row>
    <row r="1109" spans="1:36" x14ac:dyDescent="0.35">
      <c r="A1109">
        <v>38</v>
      </c>
      <c r="B1109" t="s">
        <v>43</v>
      </c>
      <c r="C1109" t="s">
        <v>44</v>
      </c>
      <c r="D1109" s="2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s="2" t="str">
        <f t="shared" si="17"/>
        <v>Medium</v>
      </c>
    </row>
    <row r="1110" spans="1:36" x14ac:dyDescent="0.35">
      <c r="A1110">
        <v>35</v>
      </c>
      <c r="B1110" t="s">
        <v>43</v>
      </c>
      <c r="C1110" t="s">
        <v>36</v>
      </c>
      <c r="D1110" s="2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s="2" t="str">
        <f t="shared" si="17"/>
        <v>Low</v>
      </c>
    </row>
    <row r="1111" spans="1:36" x14ac:dyDescent="0.35">
      <c r="A1111">
        <v>30</v>
      </c>
      <c r="B1111" t="s">
        <v>43</v>
      </c>
      <c r="C1111" t="s">
        <v>36</v>
      </c>
      <c r="D1111" s="2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s="2" t="str">
        <f t="shared" si="17"/>
        <v>Medium</v>
      </c>
    </row>
    <row r="1112" spans="1:36" x14ac:dyDescent="0.35">
      <c r="A1112">
        <v>35</v>
      </c>
      <c r="B1112" t="s">
        <v>35</v>
      </c>
      <c r="C1112" t="s">
        <v>36</v>
      </c>
      <c r="D1112" s="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s="2" t="str">
        <f t="shared" si="17"/>
        <v>Low</v>
      </c>
    </row>
    <row r="1113" spans="1:36" x14ac:dyDescent="0.35">
      <c r="A1113">
        <v>53</v>
      </c>
      <c r="B1113" t="s">
        <v>35</v>
      </c>
      <c r="C1113" t="s">
        <v>36</v>
      </c>
      <c r="D1113" s="2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s="2" t="str">
        <f t="shared" si="17"/>
        <v>High</v>
      </c>
    </row>
    <row r="1114" spans="1:36" x14ac:dyDescent="0.35">
      <c r="A1114">
        <v>38</v>
      </c>
      <c r="B1114" t="s">
        <v>35</v>
      </c>
      <c r="C1114" t="s">
        <v>36</v>
      </c>
      <c r="D1114" s="2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s="2" t="str">
        <f t="shared" si="17"/>
        <v>Low</v>
      </c>
    </row>
    <row r="1115" spans="1:36" x14ac:dyDescent="0.35">
      <c r="A1115">
        <v>32</v>
      </c>
      <c r="B1115" t="s">
        <v>43</v>
      </c>
      <c r="C1115" t="s">
        <v>55</v>
      </c>
      <c r="D1115" s="2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s="2" t="str">
        <f t="shared" si="17"/>
        <v>Low</v>
      </c>
    </row>
    <row r="1116" spans="1:36" x14ac:dyDescent="0.35">
      <c r="A1116">
        <v>48</v>
      </c>
      <c r="B1116" t="s">
        <v>43</v>
      </c>
      <c r="C1116" t="s">
        <v>36</v>
      </c>
      <c r="D1116" s="2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s="2" t="str">
        <f t="shared" si="17"/>
        <v>Low</v>
      </c>
    </row>
    <row r="1117" spans="1:36" x14ac:dyDescent="0.35">
      <c r="A1117">
        <v>34</v>
      </c>
      <c r="B1117" t="s">
        <v>43</v>
      </c>
      <c r="C1117" t="s">
        <v>36</v>
      </c>
      <c r="D1117" s="2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s="2" t="str">
        <f t="shared" si="17"/>
        <v>Low</v>
      </c>
    </row>
    <row r="1118" spans="1:36" x14ac:dyDescent="0.35">
      <c r="A1118">
        <v>55</v>
      </c>
      <c r="B1118" t="s">
        <v>43</v>
      </c>
      <c r="C1118" t="s">
        <v>36</v>
      </c>
      <c r="D1118" s="2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s="2" t="str">
        <f t="shared" si="17"/>
        <v>High</v>
      </c>
    </row>
    <row r="1119" spans="1:36" x14ac:dyDescent="0.35">
      <c r="A1119">
        <v>34</v>
      </c>
      <c r="B1119" t="s">
        <v>43</v>
      </c>
      <c r="C1119" t="s">
        <v>36</v>
      </c>
      <c r="D1119" s="2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s="2" t="str">
        <f t="shared" si="17"/>
        <v>Medium</v>
      </c>
    </row>
    <row r="1120" spans="1:36" x14ac:dyDescent="0.35">
      <c r="A1120">
        <v>26</v>
      </c>
      <c r="B1120" t="s">
        <v>43</v>
      </c>
      <c r="C1120" t="s">
        <v>36</v>
      </c>
      <c r="D1120" s="2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s="2" t="str">
        <f t="shared" si="17"/>
        <v>Low</v>
      </c>
    </row>
    <row r="1121" spans="1:36" x14ac:dyDescent="0.35">
      <c r="A1121">
        <v>38</v>
      </c>
      <c r="B1121" t="s">
        <v>43</v>
      </c>
      <c r="C1121" t="s">
        <v>36</v>
      </c>
      <c r="D1121" s="2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s="2" t="str">
        <f t="shared" si="17"/>
        <v>Medium</v>
      </c>
    </row>
    <row r="1122" spans="1:36" x14ac:dyDescent="0.35">
      <c r="A1122">
        <v>38</v>
      </c>
      <c r="B1122" t="s">
        <v>43</v>
      </c>
      <c r="C1122" t="s">
        <v>36</v>
      </c>
      <c r="D1122" s="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s="2" t="str">
        <f t="shared" si="17"/>
        <v>Low</v>
      </c>
    </row>
    <row r="1123" spans="1:36" x14ac:dyDescent="0.35">
      <c r="A1123">
        <v>36</v>
      </c>
      <c r="B1123" t="s">
        <v>43</v>
      </c>
      <c r="C1123" t="s">
        <v>36</v>
      </c>
      <c r="D1123" s="2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s="2" t="str">
        <f t="shared" si="17"/>
        <v>Medium</v>
      </c>
    </row>
    <row r="1124" spans="1:36" x14ac:dyDescent="0.35">
      <c r="A1124">
        <v>29</v>
      </c>
      <c r="B1124" t="s">
        <v>43</v>
      </c>
      <c r="C1124" t="s">
        <v>36</v>
      </c>
      <c r="D1124" s="2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s="2" t="str">
        <f t="shared" si="17"/>
        <v>Low</v>
      </c>
    </row>
    <row r="1125" spans="1:36" x14ac:dyDescent="0.35">
      <c r="A1125">
        <v>35</v>
      </c>
      <c r="B1125" t="s">
        <v>43</v>
      </c>
      <c r="C1125" t="s">
        <v>36</v>
      </c>
      <c r="D1125" s="2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s="2" t="str">
        <f t="shared" si="17"/>
        <v>Medium</v>
      </c>
    </row>
    <row r="1126" spans="1:36" x14ac:dyDescent="0.35">
      <c r="A1126">
        <v>39</v>
      </c>
      <c r="B1126" t="s">
        <v>43</v>
      </c>
      <c r="C1126" t="s">
        <v>36</v>
      </c>
      <c r="D1126" s="2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s="2" t="str">
        <f t="shared" si="17"/>
        <v>Medium</v>
      </c>
    </row>
    <row r="1127" spans="1:36" x14ac:dyDescent="0.35">
      <c r="A1127">
        <v>29</v>
      </c>
      <c r="B1127" t="s">
        <v>43</v>
      </c>
      <c r="C1127" t="s">
        <v>44</v>
      </c>
      <c r="D1127" s="2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s="2" t="str">
        <f t="shared" si="17"/>
        <v>Medium</v>
      </c>
    </row>
    <row r="1128" spans="1:36" x14ac:dyDescent="0.35">
      <c r="A1128">
        <v>50</v>
      </c>
      <c r="B1128" t="s">
        <v>43</v>
      </c>
      <c r="C1128" t="s">
        <v>36</v>
      </c>
      <c r="D1128" s="2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s="2" t="str">
        <f t="shared" si="17"/>
        <v>High</v>
      </c>
    </row>
    <row r="1129" spans="1:36" x14ac:dyDescent="0.35">
      <c r="A1129">
        <v>23</v>
      </c>
      <c r="B1129" t="s">
        <v>43</v>
      </c>
      <c r="C1129" t="s">
        <v>36</v>
      </c>
      <c r="D1129" s="2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s="2" t="str">
        <f t="shared" si="17"/>
        <v>Low</v>
      </c>
    </row>
    <row r="1130" spans="1:36" x14ac:dyDescent="0.35">
      <c r="A1130">
        <v>36</v>
      </c>
      <c r="B1130" t="s">
        <v>43</v>
      </c>
      <c r="C1130" t="s">
        <v>44</v>
      </c>
      <c r="D1130" s="2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s="2" t="str">
        <f t="shared" si="17"/>
        <v>Medium</v>
      </c>
    </row>
    <row r="1131" spans="1:36" x14ac:dyDescent="0.35">
      <c r="A1131">
        <v>42</v>
      </c>
      <c r="B1131" t="s">
        <v>43</v>
      </c>
      <c r="C1131" t="s">
        <v>36</v>
      </c>
      <c r="D1131" s="2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s="2" t="str">
        <f t="shared" si="17"/>
        <v>High</v>
      </c>
    </row>
    <row r="1132" spans="1:36" x14ac:dyDescent="0.35">
      <c r="A1132">
        <v>35</v>
      </c>
      <c r="B1132" t="s">
        <v>43</v>
      </c>
      <c r="C1132" t="s">
        <v>36</v>
      </c>
      <c r="D1132" s="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s="2" t="str">
        <f t="shared" si="17"/>
        <v>Low</v>
      </c>
    </row>
    <row r="1133" spans="1:36" x14ac:dyDescent="0.35">
      <c r="A1133">
        <v>34</v>
      </c>
      <c r="B1133" t="s">
        <v>43</v>
      </c>
      <c r="C1133" t="s">
        <v>44</v>
      </c>
      <c r="D1133" s="2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s="2" t="str">
        <f t="shared" si="17"/>
        <v>Medium</v>
      </c>
    </row>
    <row r="1134" spans="1:36" x14ac:dyDescent="0.35">
      <c r="A1134">
        <v>40</v>
      </c>
      <c r="B1134" t="s">
        <v>43</v>
      </c>
      <c r="C1134" t="s">
        <v>36</v>
      </c>
      <c r="D1134" s="2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s="2" t="str">
        <f t="shared" si="17"/>
        <v>Low</v>
      </c>
    </row>
    <row r="1135" spans="1:36" x14ac:dyDescent="0.35">
      <c r="A1135">
        <v>43</v>
      </c>
      <c r="B1135" t="s">
        <v>43</v>
      </c>
      <c r="C1135" t="s">
        <v>36</v>
      </c>
      <c r="D1135" s="2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s="2" t="str">
        <f t="shared" si="17"/>
        <v>Low</v>
      </c>
    </row>
    <row r="1136" spans="1:36" x14ac:dyDescent="0.35">
      <c r="A1136">
        <v>35</v>
      </c>
      <c r="B1136" t="s">
        <v>43</v>
      </c>
      <c r="C1136" t="s">
        <v>36</v>
      </c>
      <c r="D1136" s="2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s="2" t="str">
        <f t="shared" si="17"/>
        <v>Low</v>
      </c>
    </row>
    <row r="1137" spans="1:36" x14ac:dyDescent="0.35">
      <c r="A1137">
        <v>46</v>
      </c>
      <c r="B1137" t="s">
        <v>43</v>
      </c>
      <c r="C1137" t="s">
        <v>36</v>
      </c>
      <c r="D1137" s="2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s="2" t="str">
        <f t="shared" si="17"/>
        <v>High</v>
      </c>
    </row>
    <row r="1138" spans="1:36" x14ac:dyDescent="0.35">
      <c r="A1138">
        <v>28</v>
      </c>
      <c r="B1138" t="s">
        <v>35</v>
      </c>
      <c r="C1138" t="s">
        <v>36</v>
      </c>
      <c r="D1138" s="2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s="2" t="str">
        <f t="shared" si="17"/>
        <v>Low</v>
      </c>
    </row>
    <row r="1139" spans="1:36" x14ac:dyDescent="0.35">
      <c r="A1139">
        <v>22</v>
      </c>
      <c r="B1139" t="s">
        <v>43</v>
      </c>
      <c r="C1139" t="s">
        <v>55</v>
      </c>
      <c r="D1139" s="2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s="2" t="str">
        <f t="shared" si="17"/>
        <v>Low</v>
      </c>
    </row>
    <row r="1140" spans="1:36" x14ac:dyDescent="0.35">
      <c r="A1140">
        <v>50</v>
      </c>
      <c r="B1140" t="s">
        <v>43</v>
      </c>
      <c r="C1140" t="s">
        <v>44</v>
      </c>
      <c r="D1140" s="2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s="2" t="str">
        <f t="shared" si="17"/>
        <v>High</v>
      </c>
    </row>
    <row r="1141" spans="1:36" x14ac:dyDescent="0.35">
      <c r="A1141">
        <v>32</v>
      </c>
      <c r="B1141" t="s">
        <v>43</v>
      </c>
      <c r="C1141" t="s">
        <v>36</v>
      </c>
      <c r="D1141" s="2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s="2" t="str">
        <f t="shared" si="17"/>
        <v>Low</v>
      </c>
    </row>
    <row r="1142" spans="1:36" x14ac:dyDescent="0.35">
      <c r="A1142">
        <v>44</v>
      </c>
      <c r="B1142" t="s">
        <v>43</v>
      </c>
      <c r="C1142" t="s">
        <v>36</v>
      </c>
      <c r="D1142" s="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s="2" t="str">
        <f t="shared" si="17"/>
        <v>High</v>
      </c>
    </row>
    <row r="1143" spans="1:36" x14ac:dyDescent="0.35">
      <c r="A1143">
        <v>30</v>
      </c>
      <c r="B1143" t="s">
        <v>43</v>
      </c>
      <c r="C1143" t="s">
        <v>36</v>
      </c>
      <c r="D1143" s="2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s="2" t="str">
        <f t="shared" si="17"/>
        <v>Low</v>
      </c>
    </row>
    <row r="1144" spans="1:36" x14ac:dyDescent="0.35">
      <c r="A1144">
        <v>45</v>
      </c>
      <c r="B1144" t="s">
        <v>43</v>
      </c>
      <c r="C1144" t="s">
        <v>36</v>
      </c>
      <c r="D1144" s="2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s="2" t="str">
        <f t="shared" si="17"/>
        <v>Medium</v>
      </c>
    </row>
    <row r="1145" spans="1:36" x14ac:dyDescent="0.35">
      <c r="A1145">
        <v>45</v>
      </c>
      <c r="B1145" t="s">
        <v>43</v>
      </c>
      <c r="C1145" t="s">
        <v>55</v>
      </c>
      <c r="D1145" s="2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s="2" t="str">
        <f t="shared" si="17"/>
        <v>Low</v>
      </c>
    </row>
    <row r="1146" spans="1:36" x14ac:dyDescent="0.35">
      <c r="A1146">
        <v>31</v>
      </c>
      <c r="B1146" t="s">
        <v>43</v>
      </c>
      <c r="C1146" t="s">
        <v>44</v>
      </c>
      <c r="D1146" s="2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s="2" t="str">
        <f t="shared" si="17"/>
        <v>Medium</v>
      </c>
    </row>
    <row r="1147" spans="1:36" x14ac:dyDescent="0.35">
      <c r="A1147">
        <v>36</v>
      </c>
      <c r="B1147" t="s">
        <v>43</v>
      </c>
      <c r="C1147" t="s">
        <v>36</v>
      </c>
      <c r="D1147" s="2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s="2" t="str">
        <f t="shared" si="17"/>
        <v>Low</v>
      </c>
    </row>
    <row r="1148" spans="1:36" x14ac:dyDescent="0.35">
      <c r="A1148">
        <v>34</v>
      </c>
      <c r="B1148" t="s">
        <v>43</v>
      </c>
      <c r="C1148" t="s">
        <v>44</v>
      </c>
      <c r="D1148" s="2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s="2" t="str">
        <f t="shared" si="17"/>
        <v>Low</v>
      </c>
    </row>
    <row r="1149" spans="1:36" x14ac:dyDescent="0.35">
      <c r="A1149">
        <v>49</v>
      </c>
      <c r="B1149" t="s">
        <v>43</v>
      </c>
      <c r="C1149" t="s">
        <v>36</v>
      </c>
      <c r="D1149" s="2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s="2" t="str">
        <f t="shared" si="17"/>
        <v>Low</v>
      </c>
    </row>
    <row r="1150" spans="1:36" x14ac:dyDescent="0.35">
      <c r="A1150">
        <v>39</v>
      </c>
      <c r="B1150" t="s">
        <v>43</v>
      </c>
      <c r="C1150" t="s">
        <v>36</v>
      </c>
      <c r="D1150" s="2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s="2" t="str">
        <f t="shared" si="17"/>
        <v>Medium</v>
      </c>
    </row>
    <row r="1151" spans="1:36" x14ac:dyDescent="0.35">
      <c r="A1151">
        <v>27</v>
      </c>
      <c r="B1151" t="s">
        <v>43</v>
      </c>
      <c r="C1151" t="s">
        <v>36</v>
      </c>
      <c r="D1151" s="2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s="2" t="str">
        <f t="shared" si="17"/>
        <v>Low</v>
      </c>
    </row>
    <row r="1152" spans="1:36" x14ac:dyDescent="0.35">
      <c r="A1152">
        <v>35</v>
      </c>
      <c r="B1152" t="s">
        <v>43</v>
      </c>
      <c r="C1152" t="s">
        <v>36</v>
      </c>
      <c r="D1152" s="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s="2" t="str">
        <f t="shared" si="17"/>
        <v>Medium</v>
      </c>
    </row>
    <row r="1153" spans="1:36" x14ac:dyDescent="0.35">
      <c r="A1153">
        <v>28</v>
      </c>
      <c r="B1153" t="s">
        <v>43</v>
      </c>
      <c r="C1153" t="s">
        <v>36</v>
      </c>
      <c r="D1153" s="2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s="2" t="str">
        <f t="shared" si="17"/>
        <v>Low</v>
      </c>
    </row>
    <row r="1154" spans="1:36" x14ac:dyDescent="0.35">
      <c r="A1154">
        <v>21</v>
      </c>
      <c r="B1154" t="s">
        <v>43</v>
      </c>
      <c r="C1154" t="s">
        <v>36</v>
      </c>
      <c r="D1154" s="2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s="2" t="str">
        <f t="shared" ref="AJ1154:AJ1217" si="18">IF(S1154&lt;5000,"Low",IF(S1154&lt;10000,"Medium","High"))</f>
        <v>Low</v>
      </c>
    </row>
    <row r="1155" spans="1:36" x14ac:dyDescent="0.35">
      <c r="A1155">
        <v>18</v>
      </c>
      <c r="B1155" t="s">
        <v>35</v>
      </c>
      <c r="C1155" t="s">
        <v>44</v>
      </c>
      <c r="D1155" s="2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s="2" t="str">
        <f t="shared" si="18"/>
        <v>Low</v>
      </c>
    </row>
    <row r="1156" spans="1:36" x14ac:dyDescent="0.35">
      <c r="A1156">
        <v>47</v>
      </c>
      <c r="B1156" t="s">
        <v>43</v>
      </c>
      <c r="C1156" t="s">
        <v>36</v>
      </c>
      <c r="D1156" s="2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s="2" t="str">
        <f t="shared" si="18"/>
        <v>High</v>
      </c>
    </row>
    <row r="1157" spans="1:36" x14ac:dyDescent="0.35">
      <c r="A1157">
        <v>39</v>
      </c>
      <c r="B1157" t="s">
        <v>43</v>
      </c>
      <c r="C1157" t="s">
        <v>36</v>
      </c>
      <c r="D1157" s="2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s="2" t="str">
        <f t="shared" si="18"/>
        <v>Low</v>
      </c>
    </row>
    <row r="1158" spans="1:36" x14ac:dyDescent="0.35">
      <c r="A1158">
        <v>40</v>
      </c>
      <c r="B1158" t="s">
        <v>43</v>
      </c>
      <c r="C1158" t="s">
        <v>36</v>
      </c>
      <c r="D1158" s="2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s="2" t="str">
        <f t="shared" si="18"/>
        <v>High</v>
      </c>
    </row>
    <row r="1159" spans="1:36" x14ac:dyDescent="0.35">
      <c r="A1159">
        <v>35</v>
      </c>
      <c r="B1159" t="s">
        <v>43</v>
      </c>
      <c r="C1159" t="s">
        <v>55</v>
      </c>
      <c r="D1159" s="2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s="2" t="str">
        <f t="shared" si="18"/>
        <v>Low</v>
      </c>
    </row>
    <row r="1160" spans="1:36" x14ac:dyDescent="0.35">
      <c r="A1160">
        <v>37</v>
      </c>
      <c r="B1160" t="s">
        <v>43</v>
      </c>
      <c r="C1160" t="s">
        <v>36</v>
      </c>
      <c r="D1160" s="2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s="2" t="str">
        <f t="shared" si="18"/>
        <v>Medium</v>
      </c>
    </row>
    <row r="1161" spans="1:36" x14ac:dyDescent="0.35">
      <c r="A1161">
        <v>39</v>
      </c>
      <c r="B1161" t="s">
        <v>43</v>
      </c>
      <c r="C1161" t="s">
        <v>44</v>
      </c>
      <c r="D1161" s="2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s="2" t="str">
        <f t="shared" si="18"/>
        <v>Medium</v>
      </c>
    </row>
    <row r="1162" spans="1:36" x14ac:dyDescent="0.35">
      <c r="A1162">
        <v>45</v>
      </c>
      <c r="B1162" t="s">
        <v>43</v>
      </c>
      <c r="C1162" t="s">
        <v>36</v>
      </c>
      <c r="D1162" s="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s="2" t="str">
        <f t="shared" si="18"/>
        <v>Medium</v>
      </c>
    </row>
    <row r="1163" spans="1:36" x14ac:dyDescent="0.35">
      <c r="A1163">
        <v>38</v>
      </c>
      <c r="B1163" t="s">
        <v>43</v>
      </c>
      <c r="C1163" t="s">
        <v>36</v>
      </c>
      <c r="D1163" s="2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s="2" t="str">
        <f t="shared" si="18"/>
        <v>Medium</v>
      </c>
    </row>
    <row r="1164" spans="1:36" x14ac:dyDescent="0.35">
      <c r="A1164">
        <v>35</v>
      </c>
      <c r="B1164" t="s">
        <v>35</v>
      </c>
      <c r="C1164" t="s">
        <v>36</v>
      </c>
      <c r="D1164" s="2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s="2" t="str">
        <f t="shared" si="18"/>
        <v>High</v>
      </c>
    </row>
    <row r="1165" spans="1:36" x14ac:dyDescent="0.35">
      <c r="A1165">
        <v>37</v>
      </c>
      <c r="B1165" t="s">
        <v>43</v>
      </c>
      <c r="C1165" t="s">
        <v>36</v>
      </c>
      <c r="D1165" s="2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s="2" t="str">
        <f t="shared" si="18"/>
        <v>Low</v>
      </c>
    </row>
    <row r="1166" spans="1:36" x14ac:dyDescent="0.35">
      <c r="A1166">
        <v>40</v>
      </c>
      <c r="B1166" t="s">
        <v>43</v>
      </c>
      <c r="C1166" t="s">
        <v>36</v>
      </c>
      <c r="D1166" s="2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s="2" t="str">
        <f t="shared" si="18"/>
        <v>Medium</v>
      </c>
    </row>
    <row r="1167" spans="1:36" x14ac:dyDescent="0.35">
      <c r="A1167">
        <v>44</v>
      </c>
      <c r="B1167" t="s">
        <v>43</v>
      </c>
      <c r="C1167" t="s">
        <v>44</v>
      </c>
      <c r="D1167" s="2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s="2" t="str">
        <f t="shared" si="18"/>
        <v>Medium</v>
      </c>
    </row>
    <row r="1168" spans="1:36" x14ac:dyDescent="0.35">
      <c r="A1168">
        <v>48</v>
      </c>
      <c r="B1168" t="s">
        <v>43</v>
      </c>
      <c r="C1168" t="s">
        <v>44</v>
      </c>
      <c r="D1168" s="2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s="2" t="str">
        <f t="shared" si="18"/>
        <v>High</v>
      </c>
    </row>
    <row r="1169" spans="1:36" x14ac:dyDescent="0.35">
      <c r="A1169">
        <v>35</v>
      </c>
      <c r="B1169" t="s">
        <v>35</v>
      </c>
      <c r="C1169" t="s">
        <v>36</v>
      </c>
      <c r="D1169" s="2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s="2" t="str">
        <f t="shared" si="18"/>
        <v>Medium</v>
      </c>
    </row>
    <row r="1170" spans="1:36" x14ac:dyDescent="0.35">
      <c r="A1170">
        <v>24</v>
      </c>
      <c r="B1170" t="s">
        <v>43</v>
      </c>
      <c r="C1170" t="s">
        <v>44</v>
      </c>
      <c r="D1170" s="2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s="2" t="str">
        <f t="shared" si="18"/>
        <v>Low</v>
      </c>
    </row>
    <row r="1171" spans="1:36" x14ac:dyDescent="0.35">
      <c r="A1171">
        <v>27</v>
      </c>
      <c r="B1171" t="s">
        <v>43</v>
      </c>
      <c r="C1171" t="s">
        <v>36</v>
      </c>
      <c r="D1171" s="2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s="2" t="str">
        <f t="shared" si="18"/>
        <v>Low</v>
      </c>
    </row>
    <row r="1172" spans="1:36" x14ac:dyDescent="0.35">
      <c r="A1172">
        <v>27</v>
      </c>
      <c r="B1172" t="s">
        <v>43</v>
      </c>
      <c r="C1172" t="s">
        <v>44</v>
      </c>
      <c r="D1172" s="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s="2" t="str">
        <f t="shared" si="18"/>
        <v>Low</v>
      </c>
    </row>
    <row r="1173" spans="1:36" x14ac:dyDescent="0.35">
      <c r="A1173">
        <v>40</v>
      </c>
      <c r="B1173" t="s">
        <v>35</v>
      </c>
      <c r="C1173" t="s">
        <v>36</v>
      </c>
      <c r="D1173" s="2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s="2" t="str">
        <f t="shared" si="18"/>
        <v>Low</v>
      </c>
    </row>
    <row r="1174" spans="1:36" x14ac:dyDescent="0.35">
      <c r="A1174">
        <v>29</v>
      </c>
      <c r="B1174" t="s">
        <v>43</v>
      </c>
      <c r="C1174" t="s">
        <v>36</v>
      </c>
      <c r="D1174" s="2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s="2" t="str">
        <f t="shared" si="18"/>
        <v>Medium</v>
      </c>
    </row>
    <row r="1175" spans="1:36" x14ac:dyDescent="0.35">
      <c r="A1175">
        <v>36</v>
      </c>
      <c r="B1175" t="s">
        <v>43</v>
      </c>
      <c r="C1175" t="s">
        <v>36</v>
      </c>
      <c r="D1175" s="2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s="2" t="str">
        <f t="shared" si="18"/>
        <v>Medium</v>
      </c>
    </row>
    <row r="1176" spans="1:36" x14ac:dyDescent="0.35">
      <c r="A1176">
        <v>25</v>
      </c>
      <c r="B1176" t="s">
        <v>43</v>
      </c>
      <c r="C1176" t="s">
        <v>44</v>
      </c>
      <c r="D1176" s="2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s="2" t="str">
        <f t="shared" si="18"/>
        <v>Medium</v>
      </c>
    </row>
    <row r="1177" spans="1:36" x14ac:dyDescent="0.35">
      <c r="A1177">
        <v>39</v>
      </c>
      <c r="B1177" t="s">
        <v>43</v>
      </c>
      <c r="C1177" t="s">
        <v>36</v>
      </c>
      <c r="D1177" s="2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s="2" t="str">
        <f t="shared" si="18"/>
        <v>Medium</v>
      </c>
    </row>
    <row r="1178" spans="1:36" x14ac:dyDescent="0.35">
      <c r="A1178">
        <v>49</v>
      </c>
      <c r="B1178" t="s">
        <v>43</v>
      </c>
      <c r="C1178" t="s">
        <v>36</v>
      </c>
      <c r="D1178" s="2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s="2" t="str">
        <f t="shared" si="18"/>
        <v>High</v>
      </c>
    </row>
    <row r="1179" spans="1:36" x14ac:dyDescent="0.35">
      <c r="A1179">
        <v>50</v>
      </c>
      <c r="B1179" t="s">
        <v>43</v>
      </c>
      <c r="C1179" t="s">
        <v>36</v>
      </c>
      <c r="D1179" s="2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s="2" t="str">
        <f t="shared" si="18"/>
        <v>High</v>
      </c>
    </row>
    <row r="1180" spans="1:36" x14ac:dyDescent="0.35">
      <c r="A1180">
        <v>20</v>
      </c>
      <c r="B1180" t="s">
        <v>43</v>
      </c>
      <c r="C1180" t="s">
        <v>36</v>
      </c>
      <c r="D1180" s="2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s="2" t="str">
        <f t="shared" si="18"/>
        <v>Low</v>
      </c>
    </row>
    <row r="1181" spans="1:36" x14ac:dyDescent="0.35">
      <c r="A1181">
        <v>34</v>
      </c>
      <c r="B1181" t="s">
        <v>43</v>
      </c>
      <c r="C1181" t="s">
        <v>36</v>
      </c>
      <c r="D1181" s="2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s="2" t="str">
        <f t="shared" si="18"/>
        <v>Medium</v>
      </c>
    </row>
    <row r="1182" spans="1:36" x14ac:dyDescent="0.35">
      <c r="A1182">
        <v>36</v>
      </c>
      <c r="B1182" t="s">
        <v>43</v>
      </c>
      <c r="C1182" t="s">
        <v>36</v>
      </c>
      <c r="D1182" s="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s="2" t="str">
        <f t="shared" si="18"/>
        <v>Low</v>
      </c>
    </row>
    <row r="1183" spans="1:36" x14ac:dyDescent="0.35">
      <c r="A1183">
        <v>49</v>
      </c>
      <c r="B1183" t="s">
        <v>43</v>
      </c>
      <c r="C1183" t="s">
        <v>36</v>
      </c>
      <c r="D1183" s="2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s="2" t="str">
        <f t="shared" si="18"/>
        <v>High</v>
      </c>
    </row>
    <row r="1184" spans="1:36" x14ac:dyDescent="0.35">
      <c r="A1184">
        <v>36</v>
      </c>
      <c r="B1184" t="s">
        <v>43</v>
      </c>
      <c r="C1184" t="s">
        <v>55</v>
      </c>
      <c r="D1184" s="2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s="2" t="str">
        <f t="shared" si="18"/>
        <v>Low</v>
      </c>
    </row>
    <row r="1185" spans="1:36" x14ac:dyDescent="0.35">
      <c r="A1185">
        <v>36</v>
      </c>
      <c r="B1185" t="s">
        <v>43</v>
      </c>
      <c r="C1185" t="s">
        <v>36</v>
      </c>
      <c r="D1185" s="2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s="2" t="str">
        <f t="shared" si="18"/>
        <v>Medium</v>
      </c>
    </row>
    <row r="1186" spans="1:36" x14ac:dyDescent="0.35">
      <c r="A1186">
        <v>54</v>
      </c>
      <c r="B1186" t="s">
        <v>43</v>
      </c>
      <c r="C1186" t="s">
        <v>36</v>
      </c>
      <c r="D1186" s="2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s="2" t="str">
        <f t="shared" si="18"/>
        <v>High</v>
      </c>
    </row>
    <row r="1187" spans="1:36" x14ac:dyDescent="0.35">
      <c r="A1187">
        <v>43</v>
      </c>
      <c r="B1187" t="s">
        <v>43</v>
      </c>
      <c r="C1187" t="s">
        <v>36</v>
      </c>
      <c r="D1187" s="2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s="2" t="str">
        <f t="shared" si="18"/>
        <v>High</v>
      </c>
    </row>
    <row r="1188" spans="1:36" x14ac:dyDescent="0.35">
      <c r="A1188">
        <v>35</v>
      </c>
      <c r="B1188" t="s">
        <v>35</v>
      </c>
      <c r="C1188" t="s">
        <v>44</v>
      </c>
      <c r="D1188" s="2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s="2" t="str">
        <f t="shared" si="18"/>
        <v>Low</v>
      </c>
    </row>
    <row r="1189" spans="1:36" x14ac:dyDescent="0.35">
      <c r="A1189">
        <v>38</v>
      </c>
      <c r="B1189" t="s">
        <v>43</v>
      </c>
      <c r="C1189" t="s">
        <v>44</v>
      </c>
      <c r="D1189" s="2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s="2" t="str">
        <f t="shared" si="18"/>
        <v>Low</v>
      </c>
    </row>
    <row r="1190" spans="1:36" x14ac:dyDescent="0.35">
      <c r="A1190">
        <v>29</v>
      </c>
      <c r="B1190" t="s">
        <v>43</v>
      </c>
      <c r="C1190" t="s">
        <v>36</v>
      </c>
      <c r="D1190" s="2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s="2" t="str">
        <f t="shared" si="18"/>
        <v>Low</v>
      </c>
    </row>
    <row r="1191" spans="1:36" x14ac:dyDescent="0.35">
      <c r="A1191">
        <v>33</v>
      </c>
      <c r="B1191" t="s">
        <v>43</v>
      </c>
      <c r="C1191" t="s">
        <v>36</v>
      </c>
      <c r="D1191" s="2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s="2" t="str">
        <f t="shared" si="18"/>
        <v>Medium</v>
      </c>
    </row>
    <row r="1192" spans="1:36" x14ac:dyDescent="0.35">
      <c r="A1192">
        <v>32</v>
      </c>
      <c r="B1192" t="s">
        <v>43</v>
      </c>
      <c r="C1192" t="s">
        <v>36</v>
      </c>
      <c r="D1192" s="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s="2" t="str">
        <f t="shared" si="18"/>
        <v>Medium</v>
      </c>
    </row>
    <row r="1193" spans="1:36" x14ac:dyDescent="0.35">
      <c r="A1193">
        <v>31</v>
      </c>
      <c r="B1193" t="s">
        <v>43</v>
      </c>
      <c r="C1193" t="s">
        <v>36</v>
      </c>
      <c r="D1193" s="2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s="2" t="str">
        <f t="shared" si="18"/>
        <v>Medium</v>
      </c>
    </row>
    <row r="1194" spans="1:36" x14ac:dyDescent="0.35">
      <c r="A1194">
        <v>49</v>
      </c>
      <c r="B1194" t="s">
        <v>43</v>
      </c>
      <c r="C1194" t="s">
        <v>36</v>
      </c>
      <c r="D1194" s="2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s="2" t="str">
        <f t="shared" si="18"/>
        <v>Low</v>
      </c>
    </row>
    <row r="1195" spans="1:36" x14ac:dyDescent="0.35">
      <c r="A1195">
        <v>38</v>
      </c>
      <c r="B1195" t="s">
        <v>43</v>
      </c>
      <c r="C1195" t="s">
        <v>44</v>
      </c>
      <c r="D1195" s="2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s="2" t="str">
        <f t="shared" si="18"/>
        <v>Low</v>
      </c>
    </row>
    <row r="1196" spans="1:36" x14ac:dyDescent="0.35">
      <c r="A1196">
        <v>47</v>
      </c>
      <c r="B1196" t="s">
        <v>43</v>
      </c>
      <c r="C1196" t="s">
        <v>36</v>
      </c>
      <c r="D1196" s="2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s="2" t="str">
        <f t="shared" si="18"/>
        <v>High</v>
      </c>
    </row>
    <row r="1197" spans="1:36" x14ac:dyDescent="0.35">
      <c r="A1197">
        <v>49</v>
      </c>
      <c r="B1197" t="s">
        <v>43</v>
      </c>
      <c r="C1197" t="s">
        <v>36</v>
      </c>
      <c r="D1197" s="2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s="2" t="str">
        <f t="shared" si="18"/>
        <v>High</v>
      </c>
    </row>
    <row r="1198" spans="1:36" x14ac:dyDescent="0.35">
      <c r="A1198">
        <v>41</v>
      </c>
      <c r="B1198" t="s">
        <v>43</v>
      </c>
      <c r="C1198" t="s">
        <v>36</v>
      </c>
      <c r="D1198" s="2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s="2" t="str">
        <f t="shared" si="18"/>
        <v>Medium</v>
      </c>
    </row>
    <row r="1199" spans="1:36" x14ac:dyDescent="0.35">
      <c r="A1199">
        <v>20</v>
      </c>
      <c r="B1199" t="s">
        <v>43</v>
      </c>
      <c r="C1199" t="s">
        <v>36</v>
      </c>
      <c r="D1199" s="2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s="2" t="str">
        <f t="shared" si="18"/>
        <v>Low</v>
      </c>
    </row>
    <row r="1200" spans="1:36" x14ac:dyDescent="0.35">
      <c r="A1200">
        <v>33</v>
      </c>
      <c r="B1200" t="s">
        <v>43</v>
      </c>
      <c r="C1200" t="s">
        <v>55</v>
      </c>
      <c r="D1200" s="2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s="2" t="str">
        <f t="shared" si="18"/>
        <v>Medium</v>
      </c>
    </row>
    <row r="1201" spans="1:36" x14ac:dyDescent="0.35">
      <c r="A1201">
        <v>36</v>
      </c>
      <c r="B1201" t="s">
        <v>43</v>
      </c>
      <c r="C1201" t="s">
        <v>36</v>
      </c>
      <c r="D1201" s="2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s="2" t="str">
        <f t="shared" si="18"/>
        <v>Medium</v>
      </c>
    </row>
    <row r="1202" spans="1:36" x14ac:dyDescent="0.35">
      <c r="A1202">
        <v>44</v>
      </c>
      <c r="B1202" t="s">
        <v>43</v>
      </c>
      <c r="C1202" t="s">
        <v>36</v>
      </c>
      <c r="D1202" s="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s="2" t="str">
        <f t="shared" si="18"/>
        <v>Low</v>
      </c>
    </row>
    <row r="1203" spans="1:36" x14ac:dyDescent="0.35">
      <c r="A1203">
        <v>23</v>
      </c>
      <c r="B1203" t="s">
        <v>35</v>
      </c>
      <c r="C1203" t="s">
        <v>36</v>
      </c>
      <c r="D1203" s="2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s="2" t="str">
        <f t="shared" si="18"/>
        <v>Low</v>
      </c>
    </row>
    <row r="1204" spans="1:36" x14ac:dyDescent="0.35">
      <c r="A1204">
        <v>38</v>
      </c>
      <c r="B1204" t="s">
        <v>43</v>
      </c>
      <c r="C1204" t="s">
        <v>36</v>
      </c>
      <c r="D1204" s="2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s="2" t="str">
        <f t="shared" si="18"/>
        <v>Low</v>
      </c>
    </row>
    <row r="1205" spans="1:36" x14ac:dyDescent="0.35">
      <c r="A1205">
        <v>53</v>
      </c>
      <c r="B1205" t="s">
        <v>43</v>
      </c>
      <c r="C1205" t="s">
        <v>36</v>
      </c>
      <c r="D1205" s="2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s="2" t="str">
        <f t="shared" si="18"/>
        <v>Medium</v>
      </c>
    </row>
    <row r="1206" spans="1:36" x14ac:dyDescent="0.35">
      <c r="A1206">
        <v>48</v>
      </c>
      <c r="B1206" t="s">
        <v>35</v>
      </c>
      <c r="C1206" t="s">
        <v>44</v>
      </c>
      <c r="D1206" s="2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s="2" t="str">
        <f t="shared" si="18"/>
        <v>Low</v>
      </c>
    </row>
    <row r="1207" spans="1:36" x14ac:dyDescent="0.35">
      <c r="A1207">
        <v>32</v>
      </c>
      <c r="B1207" t="s">
        <v>35</v>
      </c>
      <c r="C1207" t="s">
        <v>36</v>
      </c>
      <c r="D1207" s="2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s="2" t="str">
        <f t="shared" si="18"/>
        <v>Low</v>
      </c>
    </row>
    <row r="1208" spans="1:36" x14ac:dyDescent="0.35">
      <c r="A1208">
        <v>26</v>
      </c>
      <c r="B1208" t="s">
        <v>43</v>
      </c>
      <c r="C1208" t="s">
        <v>55</v>
      </c>
      <c r="D1208" s="2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s="2" t="str">
        <f t="shared" si="18"/>
        <v>Low</v>
      </c>
    </row>
    <row r="1209" spans="1:36" x14ac:dyDescent="0.35">
      <c r="A1209">
        <v>55</v>
      </c>
      <c r="B1209" t="s">
        <v>43</v>
      </c>
      <c r="C1209" t="s">
        <v>36</v>
      </c>
      <c r="D1209" s="2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s="2" t="str">
        <f t="shared" si="18"/>
        <v>Low</v>
      </c>
    </row>
    <row r="1210" spans="1:36" x14ac:dyDescent="0.35">
      <c r="A1210">
        <v>34</v>
      </c>
      <c r="B1210" t="s">
        <v>43</v>
      </c>
      <c r="C1210" t="s">
        <v>36</v>
      </c>
      <c r="D1210" s="2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s="2" t="str">
        <f t="shared" si="18"/>
        <v>Low</v>
      </c>
    </row>
    <row r="1211" spans="1:36" x14ac:dyDescent="0.35">
      <c r="A1211">
        <v>60</v>
      </c>
      <c r="B1211" t="s">
        <v>43</v>
      </c>
      <c r="C1211" t="s">
        <v>36</v>
      </c>
      <c r="D1211" s="2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s="2" t="str">
        <f t="shared" si="18"/>
        <v>High</v>
      </c>
    </row>
    <row r="1212" spans="1:36" x14ac:dyDescent="0.35">
      <c r="A1212">
        <v>33</v>
      </c>
      <c r="B1212" t="s">
        <v>43</v>
      </c>
      <c r="C1212" t="s">
        <v>36</v>
      </c>
      <c r="D1212" s="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s="2" t="str">
        <f t="shared" si="18"/>
        <v>Low</v>
      </c>
    </row>
    <row r="1213" spans="1:36" x14ac:dyDescent="0.35">
      <c r="A1213">
        <v>37</v>
      </c>
      <c r="B1213" t="s">
        <v>43</v>
      </c>
      <c r="C1213" t="s">
        <v>44</v>
      </c>
      <c r="D1213" s="2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s="2" t="str">
        <f t="shared" si="18"/>
        <v>Medium</v>
      </c>
    </row>
    <row r="1214" spans="1:36" x14ac:dyDescent="0.35">
      <c r="A1214">
        <v>34</v>
      </c>
      <c r="B1214" t="s">
        <v>43</v>
      </c>
      <c r="C1214" t="s">
        <v>36</v>
      </c>
      <c r="D1214" s="2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s="2" t="str">
        <f t="shared" si="18"/>
        <v>Low</v>
      </c>
    </row>
    <row r="1215" spans="1:36" x14ac:dyDescent="0.35">
      <c r="A1215">
        <v>23</v>
      </c>
      <c r="B1215" t="s">
        <v>35</v>
      </c>
      <c r="C1215" t="s">
        <v>36</v>
      </c>
      <c r="D1215" s="2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s="2" t="str">
        <f t="shared" si="18"/>
        <v>Low</v>
      </c>
    </row>
    <row r="1216" spans="1:36" x14ac:dyDescent="0.35">
      <c r="A1216">
        <v>44</v>
      </c>
      <c r="B1216" t="s">
        <v>43</v>
      </c>
      <c r="C1216" t="s">
        <v>36</v>
      </c>
      <c r="D1216" s="2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s="2" t="str">
        <f t="shared" si="18"/>
        <v>Medium</v>
      </c>
    </row>
    <row r="1217" spans="1:36" x14ac:dyDescent="0.35">
      <c r="A1217">
        <v>35</v>
      </c>
      <c r="B1217" t="s">
        <v>43</v>
      </c>
      <c r="C1217" t="s">
        <v>44</v>
      </c>
      <c r="D1217" s="2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s="2" t="str">
        <f t="shared" si="18"/>
        <v>Low</v>
      </c>
    </row>
    <row r="1218" spans="1:36" x14ac:dyDescent="0.35">
      <c r="A1218">
        <v>43</v>
      </c>
      <c r="B1218" t="s">
        <v>43</v>
      </c>
      <c r="C1218" t="s">
        <v>36</v>
      </c>
      <c r="D1218" s="2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s="2" t="str">
        <f t="shared" ref="AJ1218:AJ1281" si="19">IF(S1218&lt;5000,"Low",IF(S1218&lt;10000,"Medium","High"))</f>
        <v>Medium</v>
      </c>
    </row>
    <row r="1219" spans="1:36" x14ac:dyDescent="0.35">
      <c r="A1219">
        <v>24</v>
      </c>
      <c r="B1219" t="s">
        <v>43</v>
      </c>
      <c r="C1219" t="s">
        <v>36</v>
      </c>
      <c r="D1219" s="2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s="2" t="str">
        <f t="shared" si="19"/>
        <v>Low</v>
      </c>
    </row>
    <row r="1220" spans="1:36" x14ac:dyDescent="0.35">
      <c r="A1220">
        <v>41</v>
      </c>
      <c r="B1220" t="s">
        <v>43</v>
      </c>
      <c r="C1220" t="s">
        <v>36</v>
      </c>
      <c r="D1220" s="2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s="2" t="str">
        <f t="shared" si="19"/>
        <v>Medium</v>
      </c>
    </row>
    <row r="1221" spans="1:36" x14ac:dyDescent="0.35">
      <c r="A1221">
        <v>29</v>
      </c>
      <c r="B1221" t="s">
        <v>43</v>
      </c>
      <c r="C1221" t="s">
        <v>36</v>
      </c>
      <c r="D1221" s="2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s="2" t="str">
        <f t="shared" si="19"/>
        <v>Low</v>
      </c>
    </row>
    <row r="1222" spans="1:36" x14ac:dyDescent="0.35">
      <c r="A1222">
        <v>36</v>
      </c>
      <c r="B1222" t="s">
        <v>43</v>
      </c>
      <c r="C1222" t="s">
        <v>36</v>
      </c>
      <c r="D1222" s="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s="2" t="str">
        <f t="shared" si="19"/>
        <v>Low</v>
      </c>
    </row>
    <row r="1223" spans="1:36" x14ac:dyDescent="0.35">
      <c r="A1223">
        <v>45</v>
      </c>
      <c r="B1223" t="s">
        <v>43</v>
      </c>
      <c r="C1223" t="s">
        <v>55</v>
      </c>
      <c r="D1223" s="2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s="2" t="str">
        <f t="shared" si="19"/>
        <v>High</v>
      </c>
    </row>
    <row r="1224" spans="1:36" x14ac:dyDescent="0.35">
      <c r="A1224">
        <v>24</v>
      </c>
      <c r="B1224" t="s">
        <v>35</v>
      </c>
      <c r="C1224" t="s">
        <v>36</v>
      </c>
      <c r="D1224" s="2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s="2" t="str">
        <f t="shared" si="19"/>
        <v>Low</v>
      </c>
    </row>
    <row r="1225" spans="1:36" x14ac:dyDescent="0.35">
      <c r="A1225">
        <v>47</v>
      </c>
      <c r="B1225" t="s">
        <v>35</v>
      </c>
      <c r="C1225" t="s">
        <v>44</v>
      </c>
      <c r="D1225" s="2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s="2" t="str">
        <f t="shared" si="19"/>
        <v>High</v>
      </c>
    </row>
    <row r="1226" spans="1:36" x14ac:dyDescent="0.35">
      <c r="A1226">
        <v>26</v>
      </c>
      <c r="B1226" t="s">
        <v>43</v>
      </c>
      <c r="C1226" t="s">
        <v>36</v>
      </c>
      <c r="D1226" s="2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s="2" t="str">
        <f t="shared" si="19"/>
        <v>Low</v>
      </c>
    </row>
    <row r="1227" spans="1:36" x14ac:dyDescent="0.35">
      <c r="A1227">
        <v>45</v>
      </c>
      <c r="B1227" t="s">
        <v>43</v>
      </c>
      <c r="C1227" t="s">
        <v>36</v>
      </c>
      <c r="D1227" s="2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s="2" t="str">
        <f t="shared" si="19"/>
        <v>High</v>
      </c>
    </row>
    <row r="1228" spans="1:36" x14ac:dyDescent="0.35">
      <c r="A1228">
        <v>32</v>
      </c>
      <c r="B1228" t="s">
        <v>43</v>
      </c>
      <c r="C1228" t="s">
        <v>44</v>
      </c>
      <c r="D1228" s="2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s="2" t="str">
        <f t="shared" si="19"/>
        <v>Low</v>
      </c>
    </row>
    <row r="1229" spans="1:36" x14ac:dyDescent="0.35">
      <c r="A1229">
        <v>31</v>
      </c>
      <c r="B1229" t="s">
        <v>43</v>
      </c>
      <c r="C1229" t="s">
        <v>36</v>
      </c>
      <c r="D1229" s="2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s="2" t="str">
        <f t="shared" si="19"/>
        <v>Low</v>
      </c>
    </row>
    <row r="1230" spans="1:36" x14ac:dyDescent="0.35">
      <c r="A1230">
        <v>41</v>
      </c>
      <c r="B1230" t="s">
        <v>43</v>
      </c>
      <c r="C1230" t="s">
        <v>55</v>
      </c>
      <c r="D1230" s="2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s="2" t="str">
        <f t="shared" si="19"/>
        <v>Medium</v>
      </c>
    </row>
    <row r="1231" spans="1:36" x14ac:dyDescent="0.35">
      <c r="A1231">
        <v>40</v>
      </c>
      <c r="B1231" t="s">
        <v>43</v>
      </c>
      <c r="C1231" t="s">
        <v>36</v>
      </c>
      <c r="D1231" s="2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s="2" t="str">
        <f t="shared" si="19"/>
        <v>Medium</v>
      </c>
    </row>
    <row r="1232" spans="1:36" x14ac:dyDescent="0.35">
      <c r="A1232">
        <v>24</v>
      </c>
      <c r="B1232" t="s">
        <v>43</v>
      </c>
      <c r="C1232" t="s">
        <v>36</v>
      </c>
      <c r="D1232" s="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s="2" t="str">
        <f t="shared" si="19"/>
        <v>Low</v>
      </c>
    </row>
    <row r="1233" spans="1:36" x14ac:dyDescent="0.35">
      <c r="A1233">
        <v>46</v>
      </c>
      <c r="B1233" t="s">
        <v>43</v>
      </c>
      <c r="C1233" t="s">
        <v>36</v>
      </c>
      <c r="D1233" s="2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s="2" t="str">
        <f t="shared" si="19"/>
        <v>Medium</v>
      </c>
    </row>
    <row r="1234" spans="1:36" x14ac:dyDescent="0.35">
      <c r="A1234">
        <v>35</v>
      </c>
      <c r="B1234" t="s">
        <v>43</v>
      </c>
      <c r="C1234" t="s">
        <v>36</v>
      </c>
      <c r="D1234" s="2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s="2" t="str">
        <f t="shared" si="19"/>
        <v>Medium</v>
      </c>
    </row>
    <row r="1235" spans="1:36" x14ac:dyDescent="0.35">
      <c r="A1235">
        <v>30</v>
      </c>
      <c r="B1235" t="s">
        <v>43</v>
      </c>
      <c r="C1235" t="s">
        <v>36</v>
      </c>
      <c r="D1235" s="2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s="2" t="str">
        <f t="shared" si="19"/>
        <v>Low</v>
      </c>
    </row>
    <row r="1236" spans="1:36" x14ac:dyDescent="0.35">
      <c r="A1236">
        <v>47</v>
      </c>
      <c r="B1236" t="s">
        <v>43</v>
      </c>
      <c r="C1236" t="s">
        <v>55</v>
      </c>
      <c r="D1236" s="2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s="2" t="str">
        <f t="shared" si="19"/>
        <v>Low</v>
      </c>
    </row>
    <row r="1237" spans="1:36" x14ac:dyDescent="0.35">
      <c r="A1237">
        <v>46</v>
      </c>
      <c r="B1237" t="s">
        <v>43</v>
      </c>
      <c r="C1237" t="s">
        <v>36</v>
      </c>
      <c r="D1237" s="2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s="2" t="str">
        <f t="shared" si="19"/>
        <v>High</v>
      </c>
    </row>
    <row r="1238" spans="1:36" x14ac:dyDescent="0.35">
      <c r="A1238">
        <v>36</v>
      </c>
      <c r="B1238" t="s">
        <v>35</v>
      </c>
      <c r="C1238" t="s">
        <v>36</v>
      </c>
      <c r="D1238" s="2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s="2" t="str">
        <f t="shared" si="19"/>
        <v>Medium</v>
      </c>
    </row>
    <row r="1239" spans="1:36" x14ac:dyDescent="0.35">
      <c r="A1239">
        <v>32</v>
      </c>
      <c r="B1239" t="s">
        <v>35</v>
      </c>
      <c r="C1239" t="s">
        <v>36</v>
      </c>
      <c r="D1239" s="2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s="2" t="str">
        <f t="shared" si="19"/>
        <v>Medium</v>
      </c>
    </row>
    <row r="1240" spans="1:36" x14ac:dyDescent="0.35">
      <c r="A1240">
        <v>23</v>
      </c>
      <c r="B1240" t="s">
        <v>43</v>
      </c>
      <c r="C1240" t="s">
        <v>36</v>
      </c>
      <c r="D1240" s="2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s="2" t="str">
        <f t="shared" si="19"/>
        <v>Low</v>
      </c>
    </row>
    <row r="1241" spans="1:36" x14ac:dyDescent="0.35">
      <c r="A1241">
        <v>31</v>
      </c>
      <c r="B1241" t="s">
        <v>43</v>
      </c>
      <c r="C1241" t="s">
        <v>44</v>
      </c>
      <c r="D1241" s="2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s="2" t="str">
        <f t="shared" si="19"/>
        <v>Medium</v>
      </c>
    </row>
    <row r="1242" spans="1:36" x14ac:dyDescent="0.35">
      <c r="A1242">
        <v>39</v>
      </c>
      <c r="B1242" t="s">
        <v>43</v>
      </c>
      <c r="C1242" t="s">
        <v>55</v>
      </c>
      <c r="D1242" s="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s="2" t="str">
        <f t="shared" si="19"/>
        <v>Medium</v>
      </c>
    </row>
    <row r="1243" spans="1:36" x14ac:dyDescent="0.35">
      <c r="A1243">
        <v>32</v>
      </c>
      <c r="B1243" t="s">
        <v>43</v>
      </c>
      <c r="C1243" t="s">
        <v>36</v>
      </c>
      <c r="D1243" s="2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s="2" t="str">
        <f t="shared" si="19"/>
        <v>Medium</v>
      </c>
    </row>
    <row r="1244" spans="1:36" x14ac:dyDescent="0.35">
      <c r="A1244">
        <v>40</v>
      </c>
      <c r="B1244" t="s">
        <v>43</v>
      </c>
      <c r="C1244" t="s">
        <v>36</v>
      </c>
      <c r="D1244" s="2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s="2" t="str">
        <f t="shared" si="19"/>
        <v>High</v>
      </c>
    </row>
    <row r="1245" spans="1:36" x14ac:dyDescent="0.35">
      <c r="A1245">
        <v>45</v>
      </c>
      <c r="B1245" t="s">
        <v>43</v>
      </c>
      <c r="C1245" t="s">
        <v>36</v>
      </c>
      <c r="D1245" s="2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s="2" t="str">
        <f t="shared" si="19"/>
        <v>Medium</v>
      </c>
    </row>
    <row r="1246" spans="1:36" x14ac:dyDescent="0.35">
      <c r="A1246">
        <v>30</v>
      </c>
      <c r="B1246" t="s">
        <v>43</v>
      </c>
      <c r="C1246" t="s">
        <v>44</v>
      </c>
      <c r="D1246" s="2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s="2" t="str">
        <f t="shared" si="19"/>
        <v>Low</v>
      </c>
    </row>
    <row r="1247" spans="1:36" x14ac:dyDescent="0.35">
      <c r="A1247">
        <v>24</v>
      </c>
      <c r="B1247" t="s">
        <v>43</v>
      </c>
      <c r="C1247" t="s">
        <v>44</v>
      </c>
      <c r="D1247" s="2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s="2" t="str">
        <f t="shared" si="19"/>
        <v>Low</v>
      </c>
    </row>
    <row r="1248" spans="1:36" x14ac:dyDescent="0.35">
      <c r="A1248">
        <v>30</v>
      </c>
      <c r="B1248" t="s">
        <v>35</v>
      </c>
      <c r="C1248" t="s">
        <v>44</v>
      </c>
      <c r="D1248" s="2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s="2" t="str">
        <f t="shared" si="19"/>
        <v>Low</v>
      </c>
    </row>
    <row r="1249" spans="1:36" x14ac:dyDescent="0.35">
      <c r="A1249">
        <v>31</v>
      </c>
      <c r="B1249" t="s">
        <v>43</v>
      </c>
      <c r="C1249" t="s">
        <v>36</v>
      </c>
      <c r="D1249" s="2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s="2" t="str">
        <f t="shared" si="19"/>
        <v>Medium</v>
      </c>
    </row>
    <row r="1250" spans="1:36" x14ac:dyDescent="0.35">
      <c r="A1250">
        <v>27</v>
      </c>
      <c r="B1250" t="s">
        <v>43</v>
      </c>
      <c r="C1250" t="s">
        <v>36</v>
      </c>
      <c r="D1250" s="2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s="2" t="str">
        <f t="shared" si="19"/>
        <v>Low</v>
      </c>
    </row>
    <row r="1251" spans="1:36" x14ac:dyDescent="0.35">
      <c r="A1251">
        <v>29</v>
      </c>
      <c r="B1251" t="s">
        <v>35</v>
      </c>
      <c r="C1251" t="s">
        <v>36</v>
      </c>
      <c r="D1251" s="2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s="2" t="str">
        <f t="shared" si="19"/>
        <v>Low</v>
      </c>
    </row>
    <row r="1252" spans="1:36" x14ac:dyDescent="0.35">
      <c r="A1252">
        <v>29</v>
      </c>
      <c r="B1252" t="s">
        <v>43</v>
      </c>
      <c r="C1252" t="s">
        <v>44</v>
      </c>
      <c r="D1252" s="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s="2" t="str">
        <f t="shared" si="19"/>
        <v>Medium</v>
      </c>
    </row>
    <row r="1253" spans="1:36" x14ac:dyDescent="0.35">
      <c r="A1253">
        <v>30</v>
      </c>
      <c r="B1253" t="s">
        <v>43</v>
      </c>
      <c r="C1253" t="s">
        <v>36</v>
      </c>
      <c r="D1253" s="2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s="2" t="str">
        <f t="shared" si="19"/>
        <v>Medium</v>
      </c>
    </row>
    <row r="1254" spans="1:36" x14ac:dyDescent="0.35">
      <c r="A1254">
        <v>34</v>
      </c>
      <c r="B1254" t="s">
        <v>43</v>
      </c>
      <c r="C1254" t="s">
        <v>36</v>
      </c>
      <c r="D1254" s="2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s="2" t="str">
        <f t="shared" si="19"/>
        <v>Low</v>
      </c>
    </row>
    <row r="1255" spans="1:36" x14ac:dyDescent="0.35">
      <c r="A1255">
        <v>33</v>
      </c>
      <c r="B1255" t="s">
        <v>43</v>
      </c>
      <c r="C1255" t="s">
        <v>55</v>
      </c>
      <c r="D1255" s="2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s="2" t="str">
        <f t="shared" si="19"/>
        <v>Medium</v>
      </c>
    </row>
    <row r="1256" spans="1:36" x14ac:dyDescent="0.35">
      <c r="A1256">
        <v>49</v>
      </c>
      <c r="B1256" t="s">
        <v>43</v>
      </c>
      <c r="C1256" t="s">
        <v>36</v>
      </c>
      <c r="D1256" s="2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s="2" t="str">
        <f t="shared" si="19"/>
        <v>Low</v>
      </c>
    </row>
    <row r="1257" spans="1:36" x14ac:dyDescent="0.35">
      <c r="A1257">
        <v>33</v>
      </c>
      <c r="B1257" t="s">
        <v>35</v>
      </c>
      <c r="C1257" t="s">
        <v>36</v>
      </c>
      <c r="D1257" s="2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s="2" t="str">
        <f t="shared" si="19"/>
        <v>Medium</v>
      </c>
    </row>
    <row r="1258" spans="1:36" x14ac:dyDescent="0.35">
      <c r="A1258">
        <v>38</v>
      </c>
      <c r="B1258" t="s">
        <v>43</v>
      </c>
      <c r="C1258" t="s">
        <v>44</v>
      </c>
      <c r="D1258" s="2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s="2" t="str">
        <f t="shared" si="19"/>
        <v>Low</v>
      </c>
    </row>
    <row r="1259" spans="1:36" x14ac:dyDescent="0.35">
      <c r="A1259">
        <v>31</v>
      </c>
      <c r="B1259" t="s">
        <v>35</v>
      </c>
      <c r="C1259" t="s">
        <v>36</v>
      </c>
      <c r="D1259" s="2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s="2" t="str">
        <f t="shared" si="19"/>
        <v>Medium</v>
      </c>
    </row>
    <row r="1260" spans="1:36" x14ac:dyDescent="0.35">
      <c r="A1260">
        <v>29</v>
      </c>
      <c r="B1260" t="s">
        <v>43</v>
      </c>
      <c r="C1260" t="s">
        <v>36</v>
      </c>
      <c r="D1260" s="2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s="2" t="str">
        <f t="shared" si="19"/>
        <v>Low</v>
      </c>
    </row>
    <row r="1261" spans="1:36" x14ac:dyDescent="0.35">
      <c r="A1261">
        <v>30</v>
      </c>
      <c r="B1261" t="s">
        <v>43</v>
      </c>
      <c r="C1261" t="s">
        <v>36</v>
      </c>
      <c r="D1261" s="2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s="2" t="str">
        <f t="shared" si="19"/>
        <v>Medium</v>
      </c>
    </row>
    <row r="1262" spans="1:36" x14ac:dyDescent="0.35">
      <c r="A1262">
        <v>32</v>
      </c>
      <c r="B1262" t="s">
        <v>43</v>
      </c>
      <c r="C1262" t="s">
        <v>55</v>
      </c>
      <c r="D1262" s="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s="2" t="str">
        <f t="shared" si="19"/>
        <v>Low</v>
      </c>
    </row>
    <row r="1263" spans="1:36" x14ac:dyDescent="0.35">
      <c r="A1263">
        <v>38</v>
      </c>
      <c r="B1263" t="s">
        <v>43</v>
      </c>
      <c r="C1263" t="s">
        <v>36</v>
      </c>
      <c r="D1263" s="2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s="2" t="str">
        <f t="shared" si="19"/>
        <v>Medium</v>
      </c>
    </row>
    <row r="1264" spans="1:36" x14ac:dyDescent="0.35">
      <c r="A1264">
        <v>43</v>
      </c>
      <c r="B1264" t="s">
        <v>35</v>
      </c>
      <c r="C1264" t="s">
        <v>44</v>
      </c>
      <c r="D1264" s="2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s="2" t="str">
        <f t="shared" si="19"/>
        <v>Low</v>
      </c>
    </row>
    <row r="1265" spans="1:36" x14ac:dyDescent="0.35">
      <c r="A1265">
        <v>42</v>
      </c>
      <c r="B1265" t="s">
        <v>43</v>
      </c>
      <c r="C1265" t="s">
        <v>36</v>
      </c>
      <c r="D1265" s="2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s="2" t="str">
        <f t="shared" si="19"/>
        <v>Low</v>
      </c>
    </row>
    <row r="1266" spans="1:36" x14ac:dyDescent="0.35">
      <c r="A1266">
        <v>55</v>
      </c>
      <c r="B1266" t="s">
        <v>43</v>
      </c>
      <c r="C1266" t="s">
        <v>36</v>
      </c>
      <c r="D1266" s="2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s="2" t="str">
        <f t="shared" si="19"/>
        <v>High</v>
      </c>
    </row>
    <row r="1267" spans="1:36" x14ac:dyDescent="0.35">
      <c r="A1267">
        <v>33</v>
      </c>
      <c r="B1267" t="s">
        <v>43</v>
      </c>
      <c r="C1267" t="s">
        <v>55</v>
      </c>
      <c r="D1267" s="2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s="2" t="str">
        <f t="shared" si="19"/>
        <v>Low</v>
      </c>
    </row>
    <row r="1268" spans="1:36" x14ac:dyDescent="0.35">
      <c r="A1268">
        <v>41</v>
      </c>
      <c r="B1268" t="s">
        <v>43</v>
      </c>
      <c r="C1268" t="s">
        <v>36</v>
      </c>
      <c r="D1268" s="2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s="2" t="str">
        <f t="shared" si="19"/>
        <v>Low</v>
      </c>
    </row>
    <row r="1269" spans="1:36" x14ac:dyDescent="0.35">
      <c r="A1269">
        <v>34</v>
      </c>
      <c r="B1269" t="s">
        <v>43</v>
      </c>
      <c r="C1269" t="s">
        <v>55</v>
      </c>
      <c r="D1269" s="2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s="2" t="str">
        <f t="shared" si="19"/>
        <v>Low</v>
      </c>
    </row>
    <row r="1270" spans="1:36" x14ac:dyDescent="0.35">
      <c r="A1270">
        <v>53</v>
      </c>
      <c r="B1270" t="s">
        <v>43</v>
      </c>
      <c r="C1270" t="s">
        <v>55</v>
      </c>
      <c r="D1270" s="2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s="2" t="str">
        <f t="shared" si="19"/>
        <v>High</v>
      </c>
    </row>
    <row r="1271" spans="1:36" x14ac:dyDescent="0.35">
      <c r="A1271">
        <v>43</v>
      </c>
      <c r="B1271" t="s">
        <v>43</v>
      </c>
      <c r="C1271" t="s">
        <v>36</v>
      </c>
      <c r="D1271" s="2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s="2" t="str">
        <f t="shared" si="19"/>
        <v>Low</v>
      </c>
    </row>
    <row r="1272" spans="1:36" x14ac:dyDescent="0.35">
      <c r="A1272">
        <v>34</v>
      </c>
      <c r="B1272" t="s">
        <v>43</v>
      </c>
      <c r="C1272" t="s">
        <v>36</v>
      </c>
      <c r="D1272" s="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s="2" t="str">
        <f t="shared" si="19"/>
        <v>Medium</v>
      </c>
    </row>
    <row r="1273" spans="1:36" x14ac:dyDescent="0.35">
      <c r="A1273">
        <v>21</v>
      </c>
      <c r="B1273" t="s">
        <v>35</v>
      </c>
      <c r="C1273" t="s">
        <v>36</v>
      </c>
      <c r="D1273" s="2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s="2" t="str">
        <f t="shared" si="19"/>
        <v>Low</v>
      </c>
    </row>
    <row r="1274" spans="1:36" x14ac:dyDescent="0.35">
      <c r="A1274">
        <v>38</v>
      </c>
      <c r="B1274" t="s">
        <v>43</v>
      </c>
      <c r="C1274" t="s">
        <v>36</v>
      </c>
      <c r="D1274" s="2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s="2" t="str">
        <f t="shared" si="19"/>
        <v>Low</v>
      </c>
    </row>
    <row r="1275" spans="1:36" x14ac:dyDescent="0.35">
      <c r="A1275">
        <v>22</v>
      </c>
      <c r="B1275" t="s">
        <v>35</v>
      </c>
      <c r="C1275" t="s">
        <v>36</v>
      </c>
      <c r="D1275" s="2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s="2" t="str">
        <f t="shared" si="19"/>
        <v>Low</v>
      </c>
    </row>
    <row r="1276" spans="1:36" x14ac:dyDescent="0.35">
      <c r="A1276">
        <v>31</v>
      </c>
      <c r="B1276" t="s">
        <v>43</v>
      </c>
      <c r="C1276" t="s">
        <v>36</v>
      </c>
      <c r="D1276" s="2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s="2" t="str">
        <f t="shared" si="19"/>
        <v>Medium</v>
      </c>
    </row>
    <row r="1277" spans="1:36" x14ac:dyDescent="0.35">
      <c r="A1277">
        <v>51</v>
      </c>
      <c r="B1277" t="s">
        <v>43</v>
      </c>
      <c r="C1277" t="s">
        <v>36</v>
      </c>
      <c r="D1277" s="2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s="2" t="str">
        <f t="shared" si="19"/>
        <v>High</v>
      </c>
    </row>
    <row r="1278" spans="1:36" x14ac:dyDescent="0.35">
      <c r="A1278">
        <v>37</v>
      </c>
      <c r="B1278" t="s">
        <v>43</v>
      </c>
      <c r="C1278" t="s">
        <v>36</v>
      </c>
      <c r="D1278" s="2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s="2" t="str">
        <f t="shared" si="19"/>
        <v>Low</v>
      </c>
    </row>
    <row r="1279" spans="1:36" x14ac:dyDescent="0.35">
      <c r="A1279">
        <v>46</v>
      </c>
      <c r="B1279" t="s">
        <v>43</v>
      </c>
      <c r="C1279" t="s">
        <v>36</v>
      </c>
      <c r="D1279" s="2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s="2" t="str">
        <f t="shared" si="19"/>
        <v>High</v>
      </c>
    </row>
    <row r="1280" spans="1:36" x14ac:dyDescent="0.35">
      <c r="A1280">
        <v>36</v>
      </c>
      <c r="B1280" t="s">
        <v>43</v>
      </c>
      <c r="C1280" t="s">
        <v>36</v>
      </c>
      <c r="D1280" s="2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s="2" t="str">
        <f t="shared" si="19"/>
        <v>Medium</v>
      </c>
    </row>
    <row r="1281" spans="1:36" x14ac:dyDescent="0.35">
      <c r="A1281">
        <v>44</v>
      </c>
      <c r="B1281" t="s">
        <v>35</v>
      </c>
      <c r="C1281" t="s">
        <v>44</v>
      </c>
      <c r="D1281" s="2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s="2" t="str">
        <f t="shared" si="19"/>
        <v>Low</v>
      </c>
    </row>
    <row r="1282" spans="1:36" x14ac:dyDescent="0.35">
      <c r="A1282">
        <v>37</v>
      </c>
      <c r="B1282" t="s">
        <v>43</v>
      </c>
      <c r="C1282" t="s">
        <v>36</v>
      </c>
      <c r="D1282" s="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s="2" t="str">
        <f t="shared" ref="AJ1282:AJ1345" si="20">IF(S1282&lt;5000,"Low",IF(S1282&lt;10000,"Medium","High"))</f>
        <v>Low</v>
      </c>
    </row>
    <row r="1283" spans="1:36" x14ac:dyDescent="0.35">
      <c r="A1283">
        <v>35</v>
      </c>
      <c r="B1283" t="s">
        <v>35</v>
      </c>
      <c r="C1283" t="s">
        <v>36</v>
      </c>
      <c r="D1283" s="2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s="2" t="str">
        <f t="shared" si="20"/>
        <v>Medium</v>
      </c>
    </row>
    <row r="1284" spans="1:36" x14ac:dyDescent="0.35">
      <c r="A1284">
        <v>33</v>
      </c>
      <c r="B1284" t="s">
        <v>43</v>
      </c>
      <c r="C1284" t="s">
        <v>36</v>
      </c>
      <c r="D1284" s="2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s="2" t="str">
        <f t="shared" si="20"/>
        <v>Low</v>
      </c>
    </row>
    <row r="1285" spans="1:36" x14ac:dyDescent="0.35">
      <c r="A1285">
        <v>28</v>
      </c>
      <c r="B1285" t="s">
        <v>43</v>
      </c>
      <c r="C1285" t="s">
        <v>36</v>
      </c>
      <c r="D1285" s="2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s="2" t="str">
        <f t="shared" si="20"/>
        <v>Low</v>
      </c>
    </row>
    <row r="1286" spans="1:36" x14ac:dyDescent="0.35">
      <c r="A1286">
        <v>39</v>
      </c>
      <c r="B1286" t="s">
        <v>43</v>
      </c>
      <c r="C1286" t="s">
        <v>36</v>
      </c>
      <c r="D1286" s="2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s="2" t="str">
        <f t="shared" si="20"/>
        <v>High</v>
      </c>
    </row>
    <row r="1287" spans="1:36" x14ac:dyDescent="0.35">
      <c r="A1287">
        <v>46</v>
      </c>
      <c r="B1287" t="s">
        <v>43</v>
      </c>
      <c r="C1287" t="s">
        <v>55</v>
      </c>
      <c r="D1287" s="2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s="2" t="str">
        <f t="shared" si="20"/>
        <v>Medium</v>
      </c>
    </row>
    <row r="1288" spans="1:36" x14ac:dyDescent="0.35">
      <c r="A1288">
        <v>40</v>
      </c>
      <c r="B1288" t="s">
        <v>43</v>
      </c>
      <c r="C1288" t="s">
        <v>36</v>
      </c>
      <c r="D1288" s="2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s="2" t="str">
        <f t="shared" si="20"/>
        <v>Low</v>
      </c>
    </row>
    <row r="1289" spans="1:36" x14ac:dyDescent="0.35">
      <c r="A1289">
        <v>42</v>
      </c>
      <c r="B1289" t="s">
        <v>43</v>
      </c>
      <c r="C1289" t="s">
        <v>36</v>
      </c>
      <c r="D1289" s="2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s="2" t="str">
        <f t="shared" si="20"/>
        <v>Medium</v>
      </c>
    </row>
    <row r="1290" spans="1:36" x14ac:dyDescent="0.35">
      <c r="A1290">
        <v>35</v>
      </c>
      <c r="B1290" t="s">
        <v>43</v>
      </c>
      <c r="C1290" t="s">
        <v>55</v>
      </c>
      <c r="D1290" s="2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s="2" t="str">
        <f t="shared" si="20"/>
        <v>Medium</v>
      </c>
    </row>
    <row r="1291" spans="1:36" x14ac:dyDescent="0.35">
      <c r="A1291">
        <v>38</v>
      </c>
      <c r="B1291" t="s">
        <v>43</v>
      </c>
      <c r="C1291" t="s">
        <v>55</v>
      </c>
      <c r="D1291" s="2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s="2" t="str">
        <f t="shared" si="20"/>
        <v>Low</v>
      </c>
    </row>
    <row r="1292" spans="1:36" x14ac:dyDescent="0.35">
      <c r="A1292">
        <v>34</v>
      </c>
      <c r="B1292" t="s">
        <v>35</v>
      </c>
      <c r="C1292" t="s">
        <v>44</v>
      </c>
      <c r="D1292" s="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s="2" t="str">
        <f t="shared" si="20"/>
        <v>Medium</v>
      </c>
    </row>
    <row r="1293" spans="1:36" x14ac:dyDescent="0.35">
      <c r="A1293">
        <v>37</v>
      </c>
      <c r="B1293" t="s">
        <v>35</v>
      </c>
      <c r="C1293" t="s">
        <v>36</v>
      </c>
      <c r="D1293" s="2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s="2" t="str">
        <f t="shared" si="20"/>
        <v>Low</v>
      </c>
    </row>
    <row r="1294" spans="1:36" x14ac:dyDescent="0.35">
      <c r="A1294">
        <v>39</v>
      </c>
      <c r="B1294" t="s">
        <v>43</v>
      </c>
      <c r="C1294" t="s">
        <v>44</v>
      </c>
      <c r="D1294" s="2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s="2" t="str">
        <f t="shared" si="20"/>
        <v>Low</v>
      </c>
    </row>
    <row r="1295" spans="1:36" x14ac:dyDescent="0.35">
      <c r="A1295">
        <v>43</v>
      </c>
      <c r="B1295" t="s">
        <v>43</v>
      </c>
      <c r="C1295" t="s">
        <v>55</v>
      </c>
      <c r="D1295" s="2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s="2" t="str">
        <f t="shared" si="20"/>
        <v>Low</v>
      </c>
    </row>
    <row r="1296" spans="1:36" x14ac:dyDescent="0.35">
      <c r="A1296">
        <v>41</v>
      </c>
      <c r="B1296" t="s">
        <v>43</v>
      </c>
      <c r="C1296" t="s">
        <v>36</v>
      </c>
      <c r="D1296" s="2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s="2" t="str">
        <f t="shared" si="20"/>
        <v>Medium</v>
      </c>
    </row>
    <row r="1297" spans="1:36" x14ac:dyDescent="0.35">
      <c r="A1297">
        <v>41</v>
      </c>
      <c r="B1297" t="s">
        <v>43</v>
      </c>
      <c r="C1297" t="s">
        <v>36</v>
      </c>
      <c r="D1297" s="2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s="2" t="str">
        <f t="shared" si="20"/>
        <v>High</v>
      </c>
    </row>
    <row r="1298" spans="1:36" x14ac:dyDescent="0.35">
      <c r="A1298">
        <v>30</v>
      </c>
      <c r="B1298" t="s">
        <v>43</v>
      </c>
      <c r="C1298" t="s">
        <v>36</v>
      </c>
      <c r="D1298" s="2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s="2" t="str">
        <f t="shared" si="20"/>
        <v>Medium</v>
      </c>
    </row>
    <row r="1299" spans="1:36" x14ac:dyDescent="0.35">
      <c r="A1299">
        <v>26</v>
      </c>
      <c r="B1299" t="s">
        <v>35</v>
      </c>
      <c r="C1299" t="s">
        <v>36</v>
      </c>
      <c r="D1299" s="2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s="2" t="str">
        <f t="shared" si="20"/>
        <v>Low</v>
      </c>
    </row>
    <row r="1300" spans="1:36" x14ac:dyDescent="0.35">
      <c r="A1300">
        <v>46</v>
      </c>
      <c r="B1300" t="s">
        <v>35</v>
      </c>
      <c r="C1300" t="s">
        <v>36</v>
      </c>
      <c r="D1300" s="2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s="2" t="str">
        <f t="shared" si="20"/>
        <v>Medium</v>
      </c>
    </row>
    <row r="1301" spans="1:36" x14ac:dyDescent="0.35">
      <c r="A1301">
        <v>40</v>
      </c>
      <c r="B1301" t="s">
        <v>43</v>
      </c>
      <c r="C1301" t="s">
        <v>36</v>
      </c>
      <c r="D1301" s="2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s="2" t="str">
        <f t="shared" si="20"/>
        <v>Medium</v>
      </c>
    </row>
    <row r="1302" spans="1:36" x14ac:dyDescent="0.35">
      <c r="A1302">
        <v>34</v>
      </c>
      <c r="B1302" t="s">
        <v>43</v>
      </c>
      <c r="C1302" t="s">
        <v>36</v>
      </c>
      <c r="D1302" s="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s="2" t="str">
        <f t="shared" si="20"/>
        <v>Medium</v>
      </c>
    </row>
    <row r="1303" spans="1:36" x14ac:dyDescent="0.35">
      <c r="A1303">
        <v>58</v>
      </c>
      <c r="B1303" t="s">
        <v>43</v>
      </c>
      <c r="C1303" t="s">
        <v>55</v>
      </c>
      <c r="D1303" s="2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s="2" t="str">
        <f t="shared" si="20"/>
        <v>High</v>
      </c>
    </row>
    <row r="1304" spans="1:36" x14ac:dyDescent="0.35">
      <c r="A1304">
        <v>35</v>
      </c>
      <c r="B1304" t="s">
        <v>43</v>
      </c>
      <c r="C1304" t="s">
        <v>36</v>
      </c>
      <c r="D1304" s="2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s="2" t="str">
        <f t="shared" si="20"/>
        <v>Low</v>
      </c>
    </row>
    <row r="1305" spans="1:36" x14ac:dyDescent="0.35">
      <c r="A1305">
        <v>47</v>
      </c>
      <c r="B1305" t="s">
        <v>43</v>
      </c>
      <c r="C1305" t="s">
        <v>36</v>
      </c>
      <c r="D1305" s="2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s="2" t="str">
        <f t="shared" si="20"/>
        <v>High</v>
      </c>
    </row>
    <row r="1306" spans="1:36" x14ac:dyDescent="0.35">
      <c r="A1306">
        <v>40</v>
      </c>
      <c r="B1306" t="s">
        <v>43</v>
      </c>
      <c r="C1306" t="s">
        <v>36</v>
      </c>
      <c r="D1306" s="2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s="2" t="str">
        <f t="shared" si="20"/>
        <v>Low</v>
      </c>
    </row>
    <row r="1307" spans="1:36" x14ac:dyDescent="0.35">
      <c r="A1307">
        <v>54</v>
      </c>
      <c r="B1307" t="s">
        <v>43</v>
      </c>
      <c r="C1307" t="s">
        <v>36</v>
      </c>
      <c r="D1307" s="2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s="2" t="str">
        <f t="shared" si="20"/>
        <v>Medium</v>
      </c>
    </row>
    <row r="1308" spans="1:36" x14ac:dyDescent="0.35">
      <c r="A1308">
        <v>31</v>
      </c>
      <c r="B1308" t="s">
        <v>43</v>
      </c>
      <c r="C1308" t="s">
        <v>44</v>
      </c>
      <c r="D1308" s="2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s="2" t="str">
        <f t="shared" si="20"/>
        <v>Medium</v>
      </c>
    </row>
    <row r="1309" spans="1:36" x14ac:dyDescent="0.35">
      <c r="A1309">
        <v>28</v>
      </c>
      <c r="B1309" t="s">
        <v>43</v>
      </c>
      <c r="C1309" t="s">
        <v>36</v>
      </c>
      <c r="D1309" s="2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s="2" t="str">
        <f t="shared" si="20"/>
        <v>Low</v>
      </c>
    </row>
    <row r="1310" spans="1:36" x14ac:dyDescent="0.35">
      <c r="A1310">
        <v>38</v>
      </c>
      <c r="B1310" t="s">
        <v>43</v>
      </c>
      <c r="C1310" t="s">
        <v>36</v>
      </c>
      <c r="D1310" s="2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s="2" t="str">
        <f t="shared" si="20"/>
        <v>Medium</v>
      </c>
    </row>
    <row r="1311" spans="1:36" x14ac:dyDescent="0.35">
      <c r="A1311">
        <v>26</v>
      </c>
      <c r="B1311" t="s">
        <v>43</v>
      </c>
      <c r="C1311" t="s">
        <v>36</v>
      </c>
      <c r="D1311" s="2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s="2" t="str">
        <f t="shared" si="20"/>
        <v>Low</v>
      </c>
    </row>
    <row r="1312" spans="1:36" x14ac:dyDescent="0.35">
      <c r="A1312">
        <v>58</v>
      </c>
      <c r="B1312" t="s">
        <v>43</v>
      </c>
      <c r="C1312" t="s">
        <v>44</v>
      </c>
      <c r="D1312" s="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s="2" t="str">
        <f t="shared" si="20"/>
        <v>High</v>
      </c>
    </row>
    <row r="1313" spans="1:36" x14ac:dyDescent="0.35">
      <c r="A1313">
        <v>18</v>
      </c>
      <c r="B1313" t="s">
        <v>43</v>
      </c>
      <c r="C1313" t="s">
        <v>55</v>
      </c>
      <c r="D1313" s="2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s="2" t="str">
        <f t="shared" si="20"/>
        <v>Low</v>
      </c>
    </row>
    <row r="1314" spans="1:36" x14ac:dyDescent="0.35">
      <c r="A1314">
        <v>31</v>
      </c>
      <c r="B1314" t="s">
        <v>35</v>
      </c>
      <c r="C1314" t="s">
        <v>36</v>
      </c>
      <c r="D1314" s="2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s="2" t="str">
        <f t="shared" si="20"/>
        <v>Low</v>
      </c>
    </row>
    <row r="1315" spans="1:36" x14ac:dyDescent="0.35">
      <c r="A1315">
        <v>29</v>
      </c>
      <c r="B1315" t="s">
        <v>35</v>
      </c>
      <c r="C1315" t="s">
        <v>36</v>
      </c>
      <c r="D1315" s="2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s="2" t="str">
        <f t="shared" si="20"/>
        <v>Low</v>
      </c>
    </row>
    <row r="1316" spans="1:36" x14ac:dyDescent="0.35">
      <c r="A1316">
        <v>45</v>
      </c>
      <c r="B1316" t="s">
        <v>43</v>
      </c>
      <c r="C1316" t="s">
        <v>55</v>
      </c>
      <c r="D1316" s="2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s="2" t="str">
        <f t="shared" si="20"/>
        <v>Medium</v>
      </c>
    </row>
    <row r="1317" spans="1:36" x14ac:dyDescent="0.35">
      <c r="A1317">
        <v>36</v>
      </c>
      <c r="B1317" t="s">
        <v>43</v>
      </c>
      <c r="C1317" t="s">
        <v>36</v>
      </c>
      <c r="D1317" s="2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s="2" t="str">
        <f t="shared" si="20"/>
        <v>Medium</v>
      </c>
    </row>
    <row r="1318" spans="1:36" x14ac:dyDescent="0.35">
      <c r="A1318">
        <v>43</v>
      </c>
      <c r="B1318" t="s">
        <v>43</v>
      </c>
      <c r="C1318" t="s">
        <v>44</v>
      </c>
      <c r="D1318" s="2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s="2" t="str">
        <f t="shared" si="20"/>
        <v>Medium</v>
      </c>
    </row>
    <row r="1319" spans="1:36" x14ac:dyDescent="0.35">
      <c r="A1319">
        <v>27</v>
      </c>
      <c r="B1319" t="s">
        <v>43</v>
      </c>
      <c r="C1319" t="s">
        <v>44</v>
      </c>
      <c r="D1319" s="2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s="2" t="str">
        <f t="shared" si="20"/>
        <v>Low</v>
      </c>
    </row>
    <row r="1320" spans="1:36" x14ac:dyDescent="0.35">
      <c r="A1320">
        <v>29</v>
      </c>
      <c r="B1320" t="s">
        <v>43</v>
      </c>
      <c r="C1320" t="s">
        <v>44</v>
      </c>
      <c r="D1320" s="2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s="2" t="str">
        <f t="shared" si="20"/>
        <v>Low</v>
      </c>
    </row>
    <row r="1321" spans="1:36" x14ac:dyDescent="0.35">
      <c r="A1321">
        <v>32</v>
      </c>
      <c r="B1321" t="s">
        <v>43</v>
      </c>
      <c r="C1321" t="s">
        <v>44</v>
      </c>
      <c r="D1321" s="2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s="2" t="str">
        <f t="shared" si="20"/>
        <v>Low</v>
      </c>
    </row>
    <row r="1322" spans="1:36" x14ac:dyDescent="0.35">
      <c r="A1322">
        <v>42</v>
      </c>
      <c r="B1322" t="s">
        <v>43</v>
      </c>
      <c r="C1322" t="s">
        <v>55</v>
      </c>
      <c r="D1322" s="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s="2" t="str">
        <f t="shared" si="20"/>
        <v>Low</v>
      </c>
    </row>
    <row r="1323" spans="1:36" x14ac:dyDescent="0.35">
      <c r="A1323">
        <v>47</v>
      </c>
      <c r="B1323" t="s">
        <v>43</v>
      </c>
      <c r="C1323" t="s">
        <v>36</v>
      </c>
      <c r="D1323" s="2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s="2" t="str">
        <f t="shared" si="20"/>
        <v>Low</v>
      </c>
    </row>
    <row r="1324" spans="1:36" x14ac:dyDescent="0.35">
      <c r="A1324">
        <v>46</v>
      </c>
      <c r="B1324" t="s">
        <v>43</v>
      </c>
      <c r="C1324" t="s">
        <v>36</v>
      </c>
      <c r="D1324" s="2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s="2" t="str">
        <f t="shared" si="20"/>
        <v>Medium</v>
      </c>
    </row>
    <row r="1325" spans="1:36" x14ac:dyDescent="0.35">
      <c r="A1325">
        <v>28</v>
      </c>
      <c r="B1325" t="s">
        <v>43</v>
      </c>
      <c r="C1325" t="s">
        <v>55</v>
      </c>
      <c r="D1325" s="2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s="2" t="str">
        <f t="shared" si="20"/>
        <v>Low</v>
      </c>
    </row>
    <row r="1326" spans="1:36" x14ac:dyDescent="0.35">
      <c r="A1326">
        <v>29</v>
      </c>
      <c r="B1326" t="s">
        <v>43</v>
      </c>
      <c r="C1326" t="s">
        <v>36</v>
      </c>
      <c r="D1326" s="2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s="2" t="str">
        <f t="shared" si="20"/>
        <v>Medium</v>
      </c>
    </row>
    <row r="1327" spans="1:36" x14ac:dyDescent="0.35">
      <c r="A1327">
        <v>42</v>
      </c>
      <c r="B1327" t="s">
        <v>43</v>
      </c>
      <c r="C1327" t="s">
        <v>36</v>
      </c>
      <c r="D1327" s="2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s="2" t="str">
        <f t="shared" si="20"/>
        <v>Low</v>
      </c>
    </row>
    <row r="1328" spans="1:36" x14ac:dyDescent="0.35">
      <c r="A1328">
        <v>32</v>
      </c>
      <c r="B1328" t="s">
        <v>35</v>
      </c>
      <c r="C1328" t="s">
        <v>36</v>
      </c>
      <c r="D1328" s="2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s="2" t="str">
        <f t="shared" si="20"/>
        <v>Medium</v>
      </c>
    </row>
    <row r="1329" spans="1:36" x14ac:dyDescent="0.35">
      <c r="A1329">
        <v>46</v>
      </c>
      <c r="B1329" t="s">
        <v>43</v>
      </c>
      <c r="C1329" t="s">
        <v>36</v>
      </c>
      <c r="D1329" s="2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s="2" t="str">
        <f t="shared" si="20"/>
        <v>High</v>
      </c>
    </row>
    <row r="1330" spans="1:36" x14ac:dyDescent="0.35">
      <c r="A1330">
        <v>27</v>
      </c>
      <c r="B1330" t="s">
        <v>43</v>
      </c>
      <c r="C1330" t="s">
        <v>36</v>
      </c>
      <c r="D1330" s="2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s="2" t="str">
        <f t="shared" si="20"/>
        <v>Low</v>
      </c>
    </row>
    <row r="1331" spans="1:36" x14ac:dyDescent="0.35">
      <c r="A1331">
        <v>29</v>
      </c>
      <c r="B1331" t="s">
        <v>43</v>
      </c>
      <c r="C1331" t="s">
        <v>36</v>
      </c>
      <c r="D1331" s="2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s="2" t="str">
        <f t="shared" si="20"/>
        <v>Low</v>
      </c>
    </row>
    <row r="1332" spans="1:36" x14ac:dyDescent="0.35">
      <c r="A1332">
        <v>43</v>
      </c>
      <c r="B1332" t="s">
        <v>43</v>
      </c>
      <c r="C1332" t="s">
        <v>36</v>
      </c>
      <c r="D1332" s="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s="2" t="str">
        <f t="shared" si="20"/>
        <v>High</v>
      </c>
    </row>
    <row r="1333" spans="1:36" x14ac:dyDescent="0.35">
      <c r="A1333">
        <v>48</v>
      </c>
      <c r="B1333" t="s">
        <v>43</v>
      </c>
      <c r="C1333" t="s">
        <v>36</v>
      </c>
      <c r="D1333" s="2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s="2" t="str">
        <f t="shared" si="20"/>
        <v>High</v>
      </c>
    </row>
    <row r="1334" spans="1:36" x14ac:dyDescent="0.35">
      <c r="A1334">
        <v>29</v>
      </c>
      <c r="B1334" t="s">
        <v>35</v>
      </c>
      <c r="C1334" t="s">
        <v>44</v>
      </c>
      <c r="D1334" s="2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s="2" t="str">
        <f t="shared" si="20"/>
        <v>Low</v>
      </c>
    </row>
    <row r="1335" spans="1:36" x14ac:dyDescent="0.35">
      <c r="A1335">
        <v>46</v>
      </c>
      <c r="B1335" t="s">
        <v>35</v>
      </c>
      <c r="C1335" t="s">
        <v>36</v>
      </c>
      <c r="D1335" s="2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s="2" t="str">
        <f t="shared" si="20"/>
        <v>Medium</v>
      </c>
    </row>
    <row r="1336" spans="1:36" x14ac:dyDescent="0.35">
      <c r="A1336">
        <v>27</v>
      </c>
      <c r="B1336" t="s">
        <v>43</v>
      </c>
      <c r="C1336" t="s">
        <v>44</v>
      </c>
      <c r="D1336" s="2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s="2" t="str">
        <f t="shared" si="20"/>
        <v>Low</v>
      </c>
    </row>
    <row r="1337" spans="1:36" x14ac:dyDescent="0.35">
      <c r="A1337">
        <v>39</v>
      </c>
      <c r="B1337" t="s">
        <v>43</v>
      </c>
      <c r="C1337" t="s">
        <v>36</v>
      </c>
      <c r="D1337" s="2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s="2" t="str">
        <f t="shared" si="20"/>
        <v>Low</v>
      </c>
    </row>
    <row r="1338" spans="1:36" x14ac:dyDescent="0.35">
      <c r="A1338">
        <v>55</v>
      </c>
      <c r="B1338" t="s">
        <v>43</v>
      </c>
      <c r="C1338" t="s">
        <v>36</v>
      </c>
      <c r="D1338" s="2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s="2" t="str">
        <f t="shared" si="20"/>
        <v>Low</v>
      </c>
    </row>
    <row r="1339" spans="1:36" x14ac:dyDescent="0.35">
      <c r="A1339">
        <v>28</v>
      </c>
      <c r="B1339" t="s">
        <v>43</v>
      </c>
      <c r="C1339" t="s">
        <v>36</v>
      </c>
      <c r="D1339" s="2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s="2" t="str">
        <f t="shared" si="20"/>
        <v>Low</v>
      </c>
    </row>
    <row r="1340" spans="1:36" x14ac:dyDescent="0.35">
      <c r="A1340">
        <v>30</v>
      </c>
      <c r="B1340" t="s">
        <v>35</v>
      </c>
      <c r="C1340" t="s">
        <v>36</v>
      </c>
      <c r="D1340" s="2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s="2" t="str">
        <f t="shared" si="20"/>
        <v>Low</v>
      </c>
    </row>
    <row r="1341" spans="1:36" x14ac:dyDescent="0.35">
      <c r="A1341">
        <v>22</v>
      </c>
      <c r="B1341" t="s">
        <v>35</v>
      </c>
      <c r="C1341" t="s">
        <v>36</v>
      </c>
      <c r="D1341" s="2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s="2" t="str">
        <f t="shared" si="20"/>
        <v>Low</v>
      </c>
    </row>
    <row r="1342" spans="1:36" x14ac:dyDescent="0.35">
      <c r="A1342">
        <v>36</v>
      </c>
      <c r="B1342" t="s">
        <v>43</v>
      </c>
      <c r="C1342" t="s">
        <v>36</v>
      </c>
      <c r="D1342" s="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s="2" t="str">
        <f t="shared" si="20"/>
        <v>Medium</v>
      </c>
    </row>
    <row r="1343" spans="1:36" x14ac:dyDescent="0.35">
      <c r="A1343">
        <v>31</v>
      </c>
      <c r="B1343" t="s">
        <v>43</v>
      </c>
      <c r="C1343" t="s">
        <v>36</v>
      </c>
      <c r="D1343" s="2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s="2" t="str">
        <f t="shared" si="20"/>
        <v>Low</v>
      </c>
    </row>
    <row r="1344" spans="1:36" x14ac:dyDescent="0.35">
      <c r="A1344">
        <v>34</v>
      </c>
      <c r="B1344" t="s">
        <v>43</v>
      </c>
      <c r="C1344" t="s">
        <v>36</v>
      </c>
      <c r="D1344" s="2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s="2" t="str">
        <f t="shared" si="20"/>
        <v>Medium</v>
      </c>
    </row>
    <row r="1345" spans="1:36" x14ac:dyDescent="0.35">
      <c r="A1345">
        <v>29</v>
      </c>
      <c r="B1345" t="s">
        <v>43</v>
      </c>
      <c r="C1345" t="s">
        <v>36</v>
      </c>
      <c r="D1345" s="2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s="2" t="str">
        <f t="shared" si="20"/>
        <v>Low</v>
      </c>
    </row>
    <row r="1346" spans="1:36" x14ac:dyDescent="0.35">
      <c r="A1346">
        <v>37</v>
      </c>
      <c r="B1346" t="s">
        <v>43</v>
      </c>
      <c r="C1346" t="s">
        <v>36</v>
      </c>
      <c r="D1346" s="2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s="2" t="str">
        <f t="shared" ref="AJ1346:AJ1409" si="21">IF(S1346&lt;5000,"Low",IF(S1346&lt;10000,"Medium","High"))</f>
        <v>Low</v>
      </c>
    </row>
    <row r="1347" spans="1:36" x14ac:dyDescent="0.35">
      <c r="A1347">
        <v>35</v>
      </c>
      <c r="B1347" t="s">
        <v>43</v>
      </c>
      <c r="C1347" t="s">
        <v>36</v>
      </c>
      <c r="D1347" s="2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s="2" t="str">
        <f t="shared" si="21"/>
        <v>Low</v>
      </c>
    </row>
    <row r="1348" spans="1:36" x14ac:dyDescent="0.35">
      <c r="A1348">
        <v>45</v>
      </c>
      <c r="B1348" t="s">
        <v>43</v>
      </c>
      <c r="C1348" t="s">
        <v>36</v>
      </c>
      <c r="D1348" s="2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s="2" t="str">
        <f t="shared" si="21"/>
        <v>Medium</v>
      </c>
    </row>
    <row r="1349" spans="1:36" x14ac:dyDescent="0.35">
      <c r="A1349">
        <v>36</v>
      </c>
      <c r="B1349" t="s">
        <v>43</v>
      </c>
      <c r="C1349" t="s">
        <v>44</v>
      </c>
      <c r="D1349" s="2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s="2" t="str">
        <f t="shared" si="21"/>
        <v>Low</v>
      </c>
    </row>
    <row r="1350" spans="1:36" x14ac:dyDescent="0.35">
      <c r="A1350">
        <v>40</v>
      </c>
      <c r="B1350" t="s">
        <v>43</v>
      </c>
      <c r="C1350" t="s">
        <v>36</v>
      </c>
      <c r="D1350" s="2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s="2" t="str">
        <f t="shared" si="21"/>
        <v>High</v>
      </c>
    </row>
    <row r="1351" spans="1:36" x14ac:dyDescent="0.35">
      <c r="A1351">
        <v>26</v>
      </c>
      <c r="B1351" t="s">
        <v>43</v>
      </c>
      <c r="C1351" t="s">
        <v>36</v>
      </c>
      <c r="D1351" s="2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s="2" t="str">
        <f t="shared" si="21"/>
        <v>Low</v>
      </c>
    </row>
    <row r="1352" spans="1:36" x14ac:dyDescent="0.35">
      <c r="A1352">
        <v>27</v>
      </c>
      <c r="B1352" t="s">
        <v>43</v>
      </c>
      <c r="C1352" t="s">
        <v>36</v>
      </c>
      <c r="D1352" s="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s="2" t="str">
        <f t="shared" si="21"/>
        <v>Medium</v>
      </c>
    </row>
    <row r="1353" spans="1:36" x14ac:dyDescent="0.35">
      <c r="A1353">
        <v>48</v>
      </c>
      <c r="B1353" t="s">
        <v>43</v>
      </c>
      <c r="C1353" t="s">
        <v>44</v>
      </c>
      <c r="D1353" s="2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s="2" t="str">
        <f t="shared" si="21"/>
        <v>High</v>
      </c>
    </row>
    <row r="1354" spans="1:36" x14ac:dyDescent="0.35">
      <c r="A1354">
        <v>44</v>
      </c>
      <c r="B1354" t="s">
        <v>43</v>
      </c>
      <c r="C1354" t="s">
        <v>36</v>
      </c>
      <c r="D1354" s="2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s="2" t="str">
        <f t="shared" si="21"/>
        <v>Medium</v>
      </c>
    </row>
    <row r="1355" spans="1:36" x14ac:dyDescent="0.35">
      <c r="A1355">
        <v>34</v>
      </c>
      <c r="B1355" t="s">
        <v>35</v>
      </c>
      <c r="C1355" t="s">
        <v>55</v>
      </c>
      <c r="D1355" s="2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s="2" t="str">
        <f t="shared" si="21"/>
        <v>Low</v>
      </c>
    </row>
    <row r="1356" spans="1:36" x14ac:dyDescent="0.35">
      <c r="A1356">
        <v>56</v>
      </c>
      <c r="B1356" t="s">
        <v>35</v>
      </c>
      <c r="C1356" t="s">
        <v>36</v>
      </c>
      <c r="D1356" s="2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s="2" t="str">
        <f t="shared" si="21"/>
        <v>Low</v>
      </c>
    </row>
    <row r="1357" spans="1:36" x14ac:dyDescent="0.35">
      <c r="A1357">
        <v>36</v>
      </c>
      <c r="B1357" t="s">
        <v>43</v>
      </c>
      <c r="C1357" t="s">
        <v>36</v>
      </c>
      <c r="D1357" s="2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s="2" t="str">
        <f t="shared" si="21"/>
        <v>Medium</v>
      </c>
    </row>
    <row r="1358" spans="1:36" x14ac:dyDescent="0.35">
      <c r="A1358">
        <v>41</v>
      </c>
      <c r="B1358" t="s">
        <v>43</v>
      </c>
      <c r="C1358" t="s">
        <v>36</v>
      </c>
      <c r="D1358" s="2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s="2" t="str">
        <f t="shared" si="21"/>
        <v>Low</v>
      </c>
    </row>
    <row r="1359" spans="1:36" x14ac:dyDescent="0.35">
      <c r="A1359">
        <v>42</v>
      </c>
      <c r="B1359" t="s">
        <v>43</v>
      </c>
      <c r="C1359" t="s">
        <v>36</v>
      </c>
      <c r="D1359" s="2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s="2" t="str">
        <f t="shared" si="21"/>
        <v>High</v>
      </c>
    </row>
    <row r="1360" spans="1:36" x14ac:dyDescent="0.35">
      <c r="A1360">
        <v>31</v>
      </c>
      <c r="B1360" t="s">
        <v>43</v>
      </c>
      <c r="C1360" t="s">
        <v>36</v>
      </c>
      <c r="D1360" s="2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s="2" t="str">
        <f t="shared" si="21"/>
        <v>Medium</v>
      </c>
    </row>
    <row r="1361" spans="1:36" x14ac:dyDescent="0.35">
      <c r="A1361">
        <v>34</v>
      </c>
      <c r="B1361" t="s">
        <v>43</v>
      </c>
      <c r="C1361" t="s">
        <v>36</v>
      </c>
      <c r="D1361" s="2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s="2" t="str">
        <f t="shared" si="21"/>
        <v>Medium</v>
      </c>
    </row>
    <row r="1362" spans="1:36" x14ac:dyDescent="0.35">
      <c r="A1362">
        <v>31</v>
      </c>
      <c r="B1362" t="s">
        <v>43</v>
      </c>
      <c r="C1362" t="s">
        <v>36</v>
      </c>
      <c r="D1362" s="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s="2" t="str">
        <f t="shared" si="21"/>
        <v>Low</v>
      </c>
    </row>
    <row r="1363" spans="1:36" x14ac:dyDescent="0.35">
      <c r="A1363">
        <v>26</v>
      </c>
      <c r="B1363" t="s">
        <v>43</v>
      </c>
      <c r="C1363" t="s">
        <v>44</v>
      </c>
      <c r="D1363" s="2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s="2" t="str">
        <f t="shared" si="21"/>
        <v>Low</v>
      </c>
    </row>
    <row r="1364" spans="1:36" x14ac:dyDescent="0.35">
      <c r="A1364">
        <v>45</v>
      </c>
      <c r="B1364" t="s">
        <v>43</v>
      </c>
      <c r="C1364" t="s">
        <v>44</v>
      </c>
      <c r="D1364" s="2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s="2" t="str">
        <f t="shared" si="21"/>
        <v>Medium</v>
      </c>
    </row>
    <row r="1365" spans="1:36" x14ac:dyDescent="0.35">
      <c r="A1365">
        <v>33</v>
      </c>
      <c r="B1365" t="s">
        <v>43</v>
      </c>
      <c r="C1365" t="s">
        <v>36</v>
      </c>
      <c r="D1365" s="2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s="2" t="str">
        <f t="shared" si="21"/>
        <v>Medium</v>
      </c>
    </row>
    <row r="1366" spans="1:36" x14ac:dyDescent="0.35">
      <c r="A1366">
        <v>28</v>
      </c>
      <c r="B1366" t="s">
        <v>43</v>
      </c>
      <c r="C1366" t="s">
        <v>44</v>
      </c>
      <c r="D1366" s="2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s="2" t="str">
        <f t="shared" si="21"/>
        <v>Medium</v>
      </c>
    </row>
    <row r="1367" spans="1:36" x14ac:dyDescent="0.35">
      <c r="A1367">
        <v>29</v>
      </c>
      <c r="B1367" t="s">
        <v>35</v>
      </c>
      <c r="C1367" t="s">
        <v>44</v>
      </c>
      <c r="D1367" s="2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s="2" t="str">
        <f t="shared" si="21"/>
        <v>Low</v>
      </c>
    </row>
    <row r="1368" spans="1:36" x14ac:dyDescent="0.35">
      <c r="A1368">
        <v>39</v>
      </c>
      <c r="B1368" t="s">
        <v>43</v>
      </c>
      <c r="C1368" t="s">
        <v>55</v>
      </c>
      <c r="D1368" s="2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s="2" t="str">
        <f t="shared" si="21"/>
        <v>Medium</v>
      </c>
    </row>
    <row r="1369" spans="1:36" x14ac:dyDescent="0.35">
      <c r="A1369">
        <v>27</v>
      </c>
      <c r="B1369" t="s">
        <v>43</v>
      </c>
      <c r="C1369" t="s">
        <v>36</v>
      </c>
      <c r="D1369" s="2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s="2" t="str">
        <f t="shared" si="21"/>
        <v>Low</v>
      </c>
    </row>
    <row r="1370" spans="1:36" x14ac:dyDescent="0.35">
      <c r="A1370">
        <v>34</v>
      </c>
      <c r="B1370" t="s">
        <v>43</v>
      </c>
      <c r="C1370" t="s">
        <v>44</v>
      </c>
      <c r="D1370" s="2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s="2" t="str">
        <f t="shared" si="21"/>
        <v>Medium</v>
      </c>
    </row>
    <row r="1371" spans="1:36" x14ac:dyDescent="0.35">
      <c r="A1371">
        <v>28</v>
      </c>
      <c r="B1371" t="s">
        <v>35</v>
      </c>
      <c r="C1371" t="s">
        <v>36</v>
      </c>
      <c r="D1371" s="2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s="2" t="str">
        <f t="shared" si="21"/>
        <v>Medium</v>
      </c>
    </row>
    <row r="1372" spans="1:36" x14ac:dyDescent="0.35">
      <c r="A1372">
        <v>47</v>
      </c>
      <c r="B1372" t="s">
        <v>43</v>
      </c>
      <c r="C1372" t="s">
        <v>55</v>
      </c>
      <c r="D1372" s="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s="2" t="str">
        <f t="shared" si="21"/>
        <v>Medium</v>
      </c>
    </row>
    <row r="1373" spans="1:36" x14ac:dyDescent="0.35">
      <c r="A1373">
        <v>56</v>
      </c>
      <c r="B1373" t="s">
        <v>43</v>
      </c>
      <c r="C1373" t="s">
        <v>36</v>
      </c>
      <c r="D1373" s="2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s="2" t="str">
        <f t="shared" si="21"/>
        <v>Medium</v>
      </c>
    </row>
    <row r="1374" spans="1:36" x14ac:dyDescent="0.35">
      <c r="A1374">
        <v>39</v>
      </c>
      <c r="B1374" t="s">
        <v>43</v>
      </c>
      <c r="C1374" t="s">
        <v>36</v>
      </c>
      <c r="D1374" s="2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s="2" t="str">
        <f t="shared" si="21"/>
        <v>Medium</v>
      </c>
    </row>
    <row r="1375" spans="1:36" x14ac:dyDescent="0.35">
      <c r="A1375">
        <v>38</v>
      </c>
      <c r="B1375" t="s">
        <v>43</v>
      </c>
      <c r="C1375" t="s">
        <v>44</v>
      </c>
      <c r="D1375" s="2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s="2" t="str">
        <f t="shared" si="21"/>
        <v>Low</v>
      </c>
    </row>
    <row r="1376" spans="1:36" x14ac:dyDescent="0.35">
      <c r="A1376">
        <v>58</v>
      </c>
      <c r="B1376" t="s">
        <v>43</v>
      </c>
      <c r="C1376" t="s">
        <v>36</v>
      </c>
      <c r="D1376" s="2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s="2" t="str">
        <f t="shared" si="21"/>
        <v>High</v>
      </c>
    </row>
    <row r="1377" spans="1:36" x14ac:dyDescent="0.35">
      <c r="A1377">
        <v>32</v>
      </c>
      <c r="B1377" t="s">
        <v>35</v>
      </c>
      <c r="C1377" t="s">
        <v>44</v>
      </c>
      <c r="D1377" s="2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s="2" t="str">
        <f t="shared" si="21"/>
        <v>Low</v>
      </c>
    </row>
    <row r="1378" spans="1:36" x14ac:dyDescent="0.35">
      <c r="A1378">
        <v>38</v>
      </c>
      <c r="B1378" t="s">
        <v>43</v>
      </c>
      <c r="C1378" t="s">
        <v>36</v>
      </c>
      <c r="D1378" s="2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s="2" t="str">
        <f t="shared" si="21"/>
        <v>Low</v>
      </c>
    </row>
    <row r="1379" spans="1:36" x14ac:dyDescent="0.35">
      <c r="A1379">
        <v>49</v>
      </c>
      <c r="B1379" t="s">
        <v>43</v>
      </c>
      <c r="C1379" t="s">
        <v>44</v>
      </c>
      <c r="D1379" s="2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s="2" t="str">
        <f t="shared" si="21"/>
        <v>High</v>
      </c>
    </row>
    <row r="1380" spans="1:36" x14ac:dyDescent="0.35">
      <c r="A1380">
        <v>42</v>
      </c>
      <c r="B1380" t="s">
        <v>43</v>
      </c>
      <c r="C1380" t="s">
        <v>36</v>
      </c>
      <c r="D1380" s="2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s="2" t="str">
        <f t="shared" si="21"/>
        <v>Medium</v>
      </c>
    </row>
    <row r="1381" spans="1:36" x14ac:dyDescent="0.35">
      <c r="A1381">
        <v>27</v>
      </c>
      <c r="B1381" t="s">
        <v>35</v>
      </c>
      <c r="C1381" t="s">
        <v>44</v>
      </c>
      <c r="D1381" s="2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s="2" t="str">
        <f t="shared" si="21"/>
        <v>Low</v>
      </c>
    </row>
    <row r="1382" spans="1:36" x14ac:dyDescent="0.35">
      <c r="A1382">
        <v>35</v>
      </c>
      <c r="B1382" t="s">
        <v>43</v>
      </c>
      <c r="C1382" t="s">
        <v>36</v>
      </c>
      <c r="D1382" s="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s="2" t="str">
        <f t="shared" si="21"/>
        <v>Medium</v>
      </c>
    </row>
    <row r="1383" spans="1:36" x14ac:dyDescent="0.35">
      <c r="A1383">
        <v>28</v>
      </c>
      <c r="B1383" t="s">
        <v>43</v>
      </c>
      <c r="C1383" t="s">
        <v>55</v>
      </c>
      <c r="D1383" s="2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s="2" t="str">
        <f t="shared" si="21"/>
        <v>Low</v>
      </c>
    </row>
    <row r="1384" spans="1:36" x14ac:dyDescent="0.35">
      <c r="A1384">
        <v>31</v>
      </c>
      <c r="B1384" t="s">
        <v>43</v>
      </c>
      <c r="C1384" t="s">
        <v>55</v>
      </c>
      <c r="D1384" s="2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s="2" t="str">
        <f t="shared" si="21"/>
        <v>Low</v>
      </c>
    </row>
    <row r="1385" spans="1:36" x14ac:dyDescent="0.35">
      <c r="A1385">
        <v>36</v>
      </c>
      <c r="B1385" t="s">
        <v>43</v>
      </c>
      <c r="C1385" t="s">
        <v>55</v>
      </c>
      <c r="D1385" s="2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s="2" t="str">
        <f t="shared" si="21"/>
        <v>Low</v>
      </c>
    </row>
    <row r="1386" spans="1:36" x14ac:dyDescent="0.35">
      <c r="A1386">
        <v>34</v>
      </c>
      <c r="B1386" t="s">
        <v>43</v>
      </c>
      <c r="C1386" t="s">
        <v>36</v>
      </c>
      <c r="D1386" s="2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s="2" t="str">
        <f t="shared" si="21"/>
        <v>Medium</v>
      </c>
    </row>
    <row r="1387" spans="1:36" x14ac:dyDescent="0.35">
      <c r="A1387">
        <v>34</v>
      </c>
      <c r="B1387" t="s">
        <v>43</v>
      </c>
      <c r="C1387" t="s">
        <v>36</v>
      </c>
      <c r="D1387" s="2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s="2" t="str">
        <f t="shared" si="21"/>
        <v>Medium</v>
      </c>
    </row>
    <row r="1388" spans="1:36" x14ac:dyDescent="0.35">
      <c r="A1388">
        <v>26</v>
      </c>
      <c r="B1388" t="s">
        <v>43</v>
      </c>
      <c r="C1388" t="s">
        <v>36</v>
      </c>
      <c r="D1388" s="2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s="2" t="str">
        <f t="shared" si="21"/>
        <v>Low</v>
      </c>
    </row>
    <row r="1389" spans="1:36" x14ac:dyDescent="0.35">
      <c r="A1389">
        <v>29</v>
      </c>
      <c r="B1389" t="s">
        <v>43</v>
      </c>
      <c r="C1389" t="s">
        <v>36</v>
      </c>
      <c r="D1389" s="2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s="2" t="str">
        <f t="shared" si="21"/>
        <v>Medium</v>
      </c>
    </row>
    <row r="1390" spans="1:36" x14ac:dyDescent="0.35">
      <c r="A1390">
        <v>32</v>
      </c>
      <c r="B1390" t="s">
        <v>43</v>
      </c>
      <c r="C1390" t="s">
        <v>55</v>
      </c>
      <c r="D1390" s="2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s="2" t="str">
        <f t="shared" si="21"/>
        <v>Medium</v>
      </c>
    </row>
    <row r="1391" spans="1:36" x14ac:dyDescent="0.35">
      <c r="A1391">
        <v>31</v>
      </c>
      <c r="B1391" t="s">
        <v>43</v>
      </c>
      <c r="C1391" t="s">
        <v>44</v>
      </c>
      <c r="D1391" s="2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s="2" t="str">
        <f t="shared" si="21"/>
        <v>Medium</v>
      </c>
    </row>
    <row r="1392" spans="1:36" x14ac:dyDescent="0.35">
      <c r="A1392">
        <v>28</v>
      </c>
      <c r="B1392" t="s">
        <v>35</v>
      </c>
      <c r="C1392" t="s">
        <v>36</v>
      </c>
      <c r="D1392" s="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s="2" t="str">
        <f t="shared" si="21"/>
        <v>Low</v>
      </c>
    </row>
    <row r="1393" spans="1:36" x14ac:dyDescent="0.35">
      <c r="A1393">
        <v>38</v>
      </c>
      <c r="B1393" t="s">
        <v>43</v>
      </c>
      <c r="C1393" t="s">
        <v>36</v>
      </c>
      <c r="D1393" s="2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s="2" t="str">
        <f t="shared" si="21"/>
        <v>Low</v>
      </c>
    </row>
    <row r="1394" spans="1:36" x14ac:dyDescent="0.35">
      <c r="A1394">
        <v>35</v>
      </c>
      <c r="B1394" t="s">
        <v>43</v>
      </c>
      <c r="C1394" t="s">
        <v>36</v>
      </c>
      <c r="D1394" s="2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s="2" t="str">
        <f t="shared" si="21"/>
        <v>Medium</v>
      </c>
    </row>
    <row r="1395" spans="1:36" x14ac:dyDescent="0.35">
      <c r="A1395">
        <v>27</v>
      </c>
      <c r="B1395" t="s">
        <v>43</v>
      </c>
      <c r="C1395" t="s">
        <v>36</v>
      </c>
      <c r="D1395" s="2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s="2" t="str">
        <f t="shared" si="21"/>
        <v>Low</v>
      </c>
    </row>
    <row r="1396" spans="1:36" x14ac:dyDescent="0.35">
      <c r="A1396">
        <v>32</v>
      </c>
      <c r="B1396" t="s">
        <v>43</v>
      </c>
      <c r="C1396" t="s">
        <v>36</v>
      </c>
      <c r="D1396" s="2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s="2" t="str">
        <f t="shared" si="21"/>
        <v>Medium</v>
      </c>
    </row>
    <row r="1397" spans="1:36" x14ac:dyDescent="0.35">
      <c r="A1397">
        <v>31</v>
      </c>
      <c r="B1397" t="s">
        <v>35</v>
      </c>
      <c r="C1397" t="s">
        <v>44</v>
      </c>
      <c r="D1397" s="2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s="2" t="str">
        <f t="shared" si="21"/>
        <v>Medium</v>
      </c>
    </row>
    <row r="1398" spans="1:36" x14ac:dyDescent="0.35">
      <c r="A1398">
        <v>53</v>
      </c>
      <c r="B1398" t="s">
        <v>35</v>
      </c>
      <c r="C1398" t="s">
        <v>36</v>
      </c>
      <c r="D1398" s="2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s="2" t="str">
        <f t="shared" si="21"/>
        <v>High</v>
      </c>
    </row>
    <row r="1399" spans="1:36" x14ac:dyDescent="0.35">
      <c r="A1399">
        <v>54</v>
      </c>
      <c r="B1399" t="s">
        <v>43</v>
      </c>
      <c r="C1399" t="s">
        <v>36</v>
      </c>
      <c r="D1399" s="2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s="2" t="str">
        <f t="shared" si="21"/>
        <v>Low</v>
      </c>
    </row>
    <row r="1400" spans="1:36" x14ac:dyDescent="0.35">
      <c r="A1400">
        <v>33</v>
      </c>
      <c r="B1400" t="s">
        <v>43</v>
      </c>
      <c r="C1400" t="s">
        <v>44</v>
      </c>
      <c r="D1400" s="2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s="2" t="str">
        <f t="shared" si="21"/>
        <v>Medium</v>
      </c>
    </row>
    <row r="1401" spans="1:36" x14ac:dyDescent="0.35">
      <c r="A1401">
        <v>43</v>
      </c>
      <c r="B1401" t="s">
        <v>43</v>
      </c>
      <c r="C1401" t="s">
        <v>36</v>
      </c>
      <c r="D1401" s="2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s="2" t="str">
        <f t="shared" si="21"/>
        <v>Medium</v>
      </c>
    </row>
    <row r="1402" spans="1:36" x14ac:dyDescent="0.35">
      <c r="A1402">
        <v>38</v>
      </c>
      <c r="B1402" t="s">
        <v>43</v>
      </c>
      <c r="C1402" t="s">
        <v>44</v>
      </c>
      <c r="D1402" s="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s="2" t="str">
        <f t="shared" si="21"/>
        <v>Low</v>
      </c>
    </row>
    <row r="1403" spans="1:36" x14ac:dyDescent="0.35">
      <c r="A1403">
        <v>55</v>
      </c>
      <c r="B1403" t="s">
        <v>43</v>
      </c>
      <c r="C1403" t="s">
        <v>36</v>
      </c>
      <c r="D1403" s="2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s="2" t="str">
        <f t="shared" si="21"/>
        <v>High</v>
      </c>
    </row>
    <row r="1404" spans="1:36" x14ac:dyDescent="0.35">
      <c r="A1404">
        <v>31</v>
      </c>
      <c r="B1404" t="s">
        <v>43</v>
      </c>
      <c r="C1404" t="s">
        <v>36</v>
      </c>
      <c r="D1404" s="2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s="2" t="str">
        <f t="shared" si="21"/>
        <v>Low</v>
      </c>
    </row>
    <row r="1405" spans="1:36" x14ac:dyDescent="0.35">
      <c r="A1405">
        <v>39</v>
      </c>
      <c r="B1405" t="s">
        <v>43</v>
      </c>
      <c r="C1405" t="s">
        <v>36</v>
      </c>
      <c r="D1405" s="2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s="2" t="str">
        <f t="shared" si="21"/>
        <v>High</v>
      </c>
    </row>
    <row r="1406" spans="1:36" x14ac:dyDescent="0.35">
      <c r="A1406">
        <v>42</v>
      </c>
      <c r="B1406" t="s">
        <v>43</v>
      </c>
      <c r="C1406" t="s">
        <v>55</v>
      </c>
      <c r="D1406" s="2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s="2" t="str">
        <f t="shared" si="21"/>
        <v>Low</v>
      </c>
    </row>
    <row r="1407" spans="1:36" x14ac:dyDescent="0.35">
      <c r="A1407">
        <v>31</v>
      </c>
      <c r="B1407" t="s">
        <v>43</v>
      </c>
      <c r="C1407" t="s">
        <v>55</v>
      </c>
      <c r="D1407" s="2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s="2" t="str">
        <f t="shared" si="21"/>
        <v>High</v>
      </c>
    </row>
    <row r="1408" spans="1:36" x14ac:dyDescent="0.35">
      <c r="A1408">
        <v>54</v>
      </c>
      <c r="B1408" t="s">
        <v>43</v>
      </c>
      <c r="C1408" t="s">
        <v>36</v>
      </c>
      <c r="D1408" s="2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s="2" t="str">
        <f t="shared" si="21"/>
        <v>Low</v>
      </c>
    </row>
    <row r="1409" spans="1:36" x14ac:dyDescent="0.35">
      <c r="A1409">
        <v>24</v>
      </c>
      <c r="B1409" t="s">
        <v>43</v>
      </c>
      <c r="C1409" t="s">
        <v>36</v>
      </c>
      <c r="D1409" s="2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s="2" t="str">
        <f t="shared" si="21"/>
        <v>Low</v>
      </c>
    </row>
    <row r="1410" spans="1:36" x14ac:dyDescent="0.35">
      <c r="A1410">
        <v>23</v>
      </c>
      <c r="B1410" t="s">
        <v>43</v>
      </c>
      <c r="C1410" t="s">
        <v>36</v>
      </c>
      <c r="D1410" s="2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s="2" t="str">
        <f t="shared" ref="AJ1410:AJ1471" si="22">IF(S1410&lt;5000,"Low",IF(S1410&lt;10000,"Medium","High"))</f>
        <v>Low</v>
      </c>
    </row>
    <row r="1411" spans="1:36" x14ac:dyDescent="0.35">
      <c r="A1411">
        <v>40</v>
      </c>
      <c r="B1411" t="s">
        <v>43</v>
      </c>
      <c r="C1411" t="s">
        <v>44</v>
      </c>
      <c r="D1411" s="2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s="2" t="str">
        <f t="shared" si="22"/>
        <v>Medium</v>
      </c>
    </row>
    <row r="1412" spans="1:36" x14ac:dyDescent="0.35">
      <c r="A1412">
        <v>40</v>
      </c>
      <c r="B1412" t="s">
        <v>43</v>
      </c>
      <c r="C1412" t="s">
        <v>36</v>
      </c>
      <c r="D1412" s="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s="2" t="str">
        <f t="shared" si="22"/>
        <v>Medium</v>
      </c>
    </row>
    <row r="1413" spans="1:36" x14ac:dyDescent="0.35">
      <c r="A1413">
        <v>25</v>
      </c>
      <c r="B1413" t="s">
        <v>43</v>
      </c>
      <c r="C1413" t="s">
        <v>36</v>
      </c>
      <c r="D1413" s="2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s="2" t="str">
        <f t="shared" si="22"/>
        <v>Low</v>
      </c>
    </row>
    <row r="1414" spans="1:36" x14ac:dyDescent="0.35">
      <c r="A1414">
        <v>30</v>
      </c>
      <c r="B1414" t="s">
        <v>43</v>
      </c>
      <c r="C1414" t="s">
        <v>36</v>
      </c>
      <c r="D1414" s="2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s="2" t="str">
        <f t="shared" si="22"/>
        <v>Low</v>
      </c>
    </row>
    <row r="1415" spans="1:36" x14ac:dyDescent="0.35">
      <c r="A1415">
        <v>25</v>
      </c>
      <c r="B1415" t="s">
        <v>43</v>
      </c>
      <c r="C1415" t="s">
        <v>36</v>
      </c>
      <c r="D1415" s="2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s="2" t="str">
        <f t="shared" si="22"/>
        <v>Low</v>
      </c>
    </row>
    <row r="1416" spans="1:36" x14ac:dyDescent="0.35">
      <c r="A1416">
        <v>47</v>
      </c>
      <c r="B1416" t="s">
        <v>43</v>
      </c>
      <c r="C1416" t="s">
        <v>36</v>
      </c>
      <c r="D1416" s="2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s="2" t="str">
        <f t="shared" si="22"/>
        <v>Medium</v>
      </c>
    </row>
    <row r="1417" spans="1:36" x14ac:dyDescent="0.35">
      <c r="A1417">
        <v>33</v>
      </c>
      <c r="B1417" t="s">
        <v>43</v>
      </c>
      <c r="C1417" t="s">
        <v>55</v>
      </c>
      <c r="D1417" s="2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s="2" t="str">
        <f t="shared" si="22"/>
        <v>Low</v>
      </c>
    </row>
    <row r="1418" spans="1:36" x14ac:dyDescent="0.35">
      <c r="A1418">
        <v>38</v>
      </c>
      <c r="B1418" t="s">
        <v>43</v>
      </c>
      <c r="C1418" t="s">
        <v>36</v>
      </c>
      <c r="D1418" s="2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s="2" t="str">
        <f t="shared" si="22"/>
        <v>Low</v>
      </c>
    </row>
    <row r="1419" spans="1:36" x14ac:dyDescent="0.35">
      <c r="A1419">
        <v>31</v>
      </c>
      <c r="B1419" t="s">
        <v>43</v>
      </c>
      <c r="C1419" t="s">
        <v>36</v>
      </c>
      <c r="D1419" s="2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s="2" t="str">
        <f t="shared" si="22"/>
        <v>Low</v>
      </c>
    </row>
    <row r="1420" spans="1:36" x14ac:dyDescent="0.35">
      <c r="A1420">
        <v>38</v>
      </c>
      <c r="B1420" t="s">
        <v>43</v>
      </c>
      <c r="C1420" t="s">
        <v>44</v>
      </c>
      <c r="D1420" s="2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s="2" t="str">
        <f t="shared" si="22"/>
        <v>Medium</v>
      </c>
    </row>
    <row r="1421" spans="1:36" x14ac:dyDescent="0.35">
      <c r="A1421">
        <v>42</v>
      </c>
      <c r="B1421" t="s">
        <v>43</v>
      </c>
      <c r="C1421" t="s">
        <v>36</v>
      </c>
      <c r="D1421" s="2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s="2" t="str">
        <f t="shared" si="22"/>
        <v>Medium</v>
      </c>
    </row>
    <row r="1422" spans="1:36" x14ac:dyDescent="0.35">
      <c r="A1422">
        <v>41</v>
      </c>
      <c r="B1422" t="s">
        <v>43</v>
      </c>
      <c r="C1422" t="s">
        <v>36</v>
      </c>
      <c r="D1422" s="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s="2" t="str">
        <f t="shared" si="22"/>
        <v>Low</v>
      </c>
    </row>
    <row r="1423" spans="1:36" x14ac:dyDescent="0.35">
      <c r="A1423">
        <v>47</v>
      </c>
      <c r="B1423" t="s">
        <v>43</v>
      </c>
      <c r="C1423" t="s">
        <v>55</v>
      </c>
      <c r="D1423" s="2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s="2" t="str">
        <f t="shared" si="22"/>
        <v>High</v>
      </c>
    </row>
    <row r="1424" spans="1:36" x14ac:dyDescent="0.35">
      <c r="A1424">
        <v>35</v>
      </c>
      <c r="B1424" t="s">
        <v>43</v>
      </c>
      <c r="C1424" t="s">
        <v>36</v>
      </c>
      <c r="D1424" s="2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s="2" t="str">
        <f t="shared" si="22"/>
        <v>Low</v>
      </c>
    </row>
    <row r="1425" spans="1:36" x14ac:dyDescent="0.35">
      <c r="A1425">
        <v>22</v>
      </c>
      <c r="B1425" t="s">
        <v>43</v>
      </c>
      <c r="C1425" t="s">
        <v>36</v>
      </c>
      <c r="D1425" s="2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s="2" t="str">
        <f t="shared" si="22"/>
        <v>Low</v>
      </c>
    </row>
    <row r="1426" spans="1:36" x14ac:dyDescent="0.35">
      <c r="A1426">
        <v>35</v>
      </c>
      <c r="B1426" t="s">
        <v>43</v>
      </c>
      <c r="C1426" t="s">
        <v>36</v>
      </c>
      <c r="D1426" s="2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s="2" t="str">
        <f t="shared" si="22"/>
        <v>Medium</v>
      </c>
    </row>
    <row r="1427" spans="1:36" x14ac:dyDescent="0.35">
      <c r="A1427">
        <v>33</v>
      </c>
      <c r="B1427" t="s">
        <v>43</v>
      </c>
      <c r="C1427" t="s">
        <v>36</v>
      </c>
      <c r="D1427" s="2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s="2" t="str">
        <f t="shared" si="22"/>
        <v>Low</v>
      </c>
    </row>
    <row r="1428" spans="1:36" x14ac:dyDescent="0.35">
      <c r="A1428">
        <v>32</v>
      </c>
      <c r="B1428" t="s">
        <v>43</v>
      </c>
      <c r="C1428" t="s">
        <v>36</v>
      </c>
      <c r="D1428" s="2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s="2" t="str">
        <f t="shared" si="22"/>
        <v>Low</v>
      </c>
    </row>
    <row r="1429" spans="1:36" x14ac:dyDescent="0.35">
      <c r="A1429">
        <v>40</v>
      </c>
      <c r="B1429" t="s">
        <v>43</v>
      </c>
      <c r="C1429" t="s">
        <v>36</v>
      </c>
      <c r="D1429" s="2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s="2" t="str">
        <f t="shared" si="22"/>
        <v>Low</v>
      </c>
    </row>
    <row r="1430" spans="1:36" x14ac:dyDescent="0.35">
      <c r="A1430">
        <v>32</v>
      </c>
      <c r="B1430" t="s">
        <v>43</v>
      </c>
      <c r="C1430" t="s">
        <v>36</v>
      </c>
      <c r="D1430" s="2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s="2" t="str">
        <f t="shared" si="22"/>
        <v>Low</v>
      </c>
    </row>
    <row r="1431" spans="1:36" x14ac:dyDescent="0.35">
      <c r="A1431">
        <v>39</v>
      </c>
      <c r="B1431" t="s">
        <v>43</v>
      </c>
      <c r="C1431" t="s">
        <v>36</v>
      </c>
      <c r="D1431" s="2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s="2" t="str">
        <f t="shared" si="22"/>
        <v>Low</v>
      </c>
    </row>
    <row r="1432" spans="1:36" x14ac:dyDescent="0.35">
      <c r="A1432">
        <v>38</v>
      </c>
      <c r="B1432" t="s">
        <v>43</v>
      </c>
      <c r="C1432" t="s">
        <v>36</v>
      </c>
      <c r="D1432" s="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s="2" t="str">
        <f t="shared" si="22"/>
        <v>High</v>
      </c>
    </row>
    <row r="1433" spans="1:36" x14ac:dyDescent="0.35">
      <c r="A1433">
        <v>32</v>
      </c>
      <c r="B1433" t="s">
        <v>43</v>
      </c>
      <c r="C1433" t="s">
        <v>36</v>
      </c>
      <c r="D1433" s="2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s="2" t="str">
        <f t="shared" si="22"/>
        <v>High</v>
      </c>
    </row>
    <row r="1434" spans="1:36" x14ac:dyDescent="0.35">
      <c r="A1434">
        <v>37</v>
      </c>
      <c r="B1434" t="s">
        <v>43</v>
      </c>
      <c r="C1434" t="s">
        <v>36</v>
      </c>
      <c r="D1434" s="2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s="2" t="str">
        <f t="shared" si="22"/>
        <v>High</v>
      </c>
    </row>
    <row r="1435" spans="1:36" x14ac:dyDescent="0.35">
      <c r="A1435">
        <v>25</v>
      </c>
      <c r="B1435" t="s">
        <v>43</v>
      </c>
      <c r="C1435" t="s">
        <v>36</v>
      </c>
      <c r="D1435" s="2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s="2" t="str">
        <f t="shared" si="22"/>
        <v>Low</v>
      </c>
    </row>
    <row r="1436" spans="1:36" x14ac:dyDescent="0.35">
      <c r="A1436">
        <v>52</v>
      </c>
      <c r="B1436" t="s">
        <v>43</v>
      </c>
      <c r="C1436" t="s">
        <v>55</v>
      </c>
      <c r="D1436" s="2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s="2" t="str">
        <f t="shared" si="22"/>
        <v>Low</v>
      </c>
    </row>
    <row r="1437" spans="1:36" x14ac:dyDescent="0.35">
      <c r="A1437">
        <v>44</v>
      </c>
      <c r="B1437" t="s">
        <v>43</v>
      </c>
      <c r="C1437" t="s">
        <v>36</v>
      </c>
      <c r="D1437" s="2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s="2" t="str">
        <f t="shared" si="22"/>
        <v>Low</v>
      </c>
    </row>
    <row r="1438" spans="1:36" x14ac:dyDescent="0.35">
      <c r="A1438">
        <v>21</v>
      </c>
      <c r="B1438" t="s">
        <v>43</v>
      </c>
      <c r="C1438" t="s">
        <v>36</v>
      </c>
      <c r="D1438" s="2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s="2" t="str">
        <f t="shared" si="22"/>
        <v>Low</v>
      </c>
    </row>
    <row r="1439" spans="1:36" x14ac:dyDescent="0.35">
      <c r="A1439">
        <v>39</v>
      </c>
      <c r="B1439" t="s">
        <v>43</v>
      </c>
      <c r="C1439" t="s">
        <v>55</v>
      </c>
      <c r="D1439" s="2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s="2" t="str">
        <f t="shared" si="22"/>
        <v>High</v>
      </c>
    </row>
    <row r="1440" spans="1:36" x14ac:dyDescent="0.35">
      <c r="A1440">
        <v>23</v>
      </c>
      <c r="B1440" t="s">
        <v>35</v>
      </c>
      <c r="C1440" t="s">
        <v>44</v>
      </c>
      <c r="D1440" s="2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s="2" t="str">
        <f t="shared" si="22"/>
        <v>Low</v>
      </c>
    </row>
    <row r="1441" spans="1:36" x14ac:dyDescent="0.35">
      <c r="A1441">
        <v>36</v>
      </c>
      <c r="B1441" t="s">
        <v>43</v>
      </c>
      <c r="C1441" t="s">
        <v>36</v>
      </c>
      <c r="D1441" s="2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s="2" t="str">
        <f t="shared" si="22"/>
        <v>Medium</v>
      </c>
    </row>
    <row r="1442" spans="1:36" x14ac:dyDescent="0.35">
      <c r="A1442">
        <v>36</v>
      </c>
      <c r="B1442" t="s">
        <v>43</v>
      </c>
      <c r="C1442" t="s">
        <v>44</v>
      </c>
      <c r="D1442" s="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s="2" t="str">
        <f t="shared" si="22"/>
        <v>Medium</v>
      </c>
    </row>
    <row r="1443" spans="1:36" x14ac:dyDescent="0.35">
      <c r="A1443">
        <v>56</v>
      </c>
      <c r="B1443" t="s">
        <v>43</v>
      </c>
      <c r="C1443" t="s">
        <v>55</v>
      </c>
      <c r="D1443" s="2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s="2" t="str">
        <f t="shared" si="22"/>
        <v>Medium</v>
      </c>
    </row>
    <row r="1444" spans="1:36" x14ac:dyDescent="0.35">
      <c r="A1444">
        <v>29</v>
      </c>
      <c r="B1444" t="s">
        <v>35</v>
      </c>
      <c r="C1444" t="s">
        <v>36</v>
      </c>
      <c r="D1444" s="2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s="2" t="str">
        <f t="shared" si="22"/>
        <v>Low</v>
      </c>
    </row>
    <row r="1445" spans="1:36" x14ac:dyDescent="0.35">
      <c r="A1445">
        <v>42</v>
      </c>
      <c r="B1445" t="s">
        <v>43</v>
      </c>
      <c r="C1445" t="s">
        <v>36</v>
      </c>
      <c r="D1445" s="2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s="2" t="str">
        <f t="shared" si="22"/>
        <v>High</v>
      </c>
    </row>
    <row r="1446" spans="1:36" x14ac:dyDescent="0.35">
      <c r="A1446">
        <v>56</v>
      </c>
      <c r="B1446" t="s">
        <v>35</v>
      </c>
      <c r="C1446" t="s">
        <v>36</v>
      </c>
      <c r="D1446" s="2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s="2" t="str">
        <f t="shared" si="22"/>
        <v>Low</v>
      </c>
    </row>
    <row r="1447" spans="1:36" x14ac:dyDescent="0.35">
      <c r="A1447">
        <v>41</v>
      </c>
      <c r="B1447" t="s">
        <v>43</v>
      </c>
      <c r="C1447" t="s">
        <v>36</v>
      </c>
      <c r="D1447" s="2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s="2" t="str">
        <f t="shared" si="22"/>
        <v>High</v>
      </c>
    </row>
    <row r="1448" spans="1:36" x14ac:dyDescent="0.35">
      <c r="A1448">
        <v>34</v>
      </c>
      <c r="B1448" t="s">
        <v>43</v>
      </c>
      <c r="C1448" t="s">
        <v>36</v>
      </c>
      <c r="D1448" s="2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s="2" t="str">
        <f t="shared" si="22"/>
        <v>Medium</v>
      </c>
    </row>
    <row r="1449" spans="1:36" x14ac:dyDescent="0.35">
      <c r="A1449">
        <v>36</v>
      </c>
      <c r="B1449" t="s">
        <v>43</v>
      </c>
      <c r="C1449" t="s">
        <v>55</v>
      </c>
      <c r="D1449" s="2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s="2" t="str">
        <f t="shared" si="22"/>
        <v>Medium</v>
      </c>
    </row>
    <row r="1450" spans="1:36" x14ac:dyDescent="0.35">
      <c r="A1450">
        <v>41</v>
      </c>
      <c r="B1450" t="s">
        <v>43</v>
      </c>
      <c r="C1450" t="s">
        <v>36</v>
      </c>
      <c r="D1450" s="2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s="2" t="str">
        <f t="shared" si="22"/>
        <v>Medium</v>
      </c>
    </row>
    <row r="1451" spans="1:36" x14ac:dyDescent="0.35">
      <c r="A1451">
        <v>32</v>
      </c>
      <c r="B1451" t="s">
        <v>43</v>
      </c>
      <c r="C1451" t="s">
        <v>36</v>
      </c>
      <c r="D1451" s="2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s="2" t="str">
        <f t="shared" si="22"/>
        <v>Low</v>
      </c>
    </row>
    <row r="1452" spans="1:36" x14ac:dyDescent="0.35">
      <c r="A1452">
        <v>35</v>
      </c>
      <c r="B1452" t="s">
        <v>43</v>
      </c>
      <c r="C1452" t="s">
        <v>36</v>
      </c>
      <c r="D1452" s="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s="2" t="str">
        <f t="shared" si="22"/>
        <v>Medium</v>
      </c>
    </row>
    <row r="1453" spans="1:36" x14ac:dyDescent="0.35">
      <c r="A1453">
        <v>38</v>
      </c>
      <c r="B1453" t="s">
        <v>43</v>
      </c>
      <c r="C1453" t="s">
        <v>36</v>
      </c>
      <c r="D1453" s="2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s="2" t="str">
        <f t="shared" si="22"/>
        <v>Medium</v>
      </c>
    </row>
    <row r="1454" spans="1:36" x14ac:dyDescent="0.35">
      <c r="A1454">
        <v>50</v>
      </c>
      <c r="B1454" t="s">
        <v>35</v>
      </c>
      <c r="C1454" t="s">
        <v>44</v>
      </c>
      <c r="D1454" s="2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s="2" t="str">
        <f t="shared" si="22"/>
        <v>Medium</v>
      </c>
    </row>
    <row r="1455" spans="1:36" x14ac:dyDescent="0.35">
      <c r="A1455">
        <v>36</v>
      </c>
      <c r="B1455" t="s">
        <v>43</v>
      </c>
      <c r="C1455" t="s">
        <v>36</v>
      </c>
      <c r="D1455" s="2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s="2" t="str">
        <f t="shared" si="22"/>
        <v>Medium</v>
      </c>
    </row>
    <row r="1456" spans="1:36" x14ac:dyDescent="0.35">
      <c r="A1456">
        <v>45</v>
      </c>
      <c r="B1456" t="s">
        <v>43</v>
      </c>
      <c r="C1456" t="s">
        <v>36</v>
      </c>
      <c r="D1456" s="2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s="2" t="str">
        <f t="shared" si="22"/>
        <v>Low</v>
      </c>
    </row>
    <row r="1457" spans="1:36" x14ac:dyDescent="0.35">
      <c r="A1457">
        <v>40</v>
      </c>
      <c r="B1457" t="s">
        <v>43</v>
      </c>
      <c r="C1457" t="s">
        <v>36</v>
      </c>
      <c r="D1457" s="2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s="2" t="str">
        <f t="shared" si="22"/>
        <v>Low</v>
      </c>
    </row>
    <row r="1458" spans="1:36" x14ac:dyDescent="0.35">
      <c r="A1458">
        <v>35</v>
      </c>
      <c r="B1458" t="s">
        <v>43</v>
      </c>
      <c r="C1458" t="s">
        <v>44</v>
      </c>
      <c r="D1458" s="2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s="2" t="str">
        <f t="shared" si="22"/>
        <v>Medium</v>
      </c>
    </row>
    <row r="1459" spans="1:36" x14ac:dyDescent="0.35">
      <c r="A1459">
        <v>40</v>
      </c>
      <c r="B1459" t="s">
        <v>43</v>
      </c>
      <c r="C1459" t="s">
        <v>36</v>
      </c>
      <c r="D1459" s="2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s="2" t="str">
        <f t="shared" si="22"/>
        <v>Low</v>
      </c>
    </row>
    <row r="1460" spans="1:36" x14ac:dyDescent="0.35">
      <c r="A1460">
        <v>35</v>
      </c>
      <c r="B1460" t="s">
        <v>43</v>
      </c>
      <c r="C1460" t="s">
        <v>36</v>
      </c>
      <c r="D1460" s="2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s="2" t="str">
        <f t="shared" si="22"/>
        <v>Low</v>
      </c>
    </row>
    <row r="1461" spans="1:36" x14ac:dyDescent="0.35">
      <c r="A1461">
        <v>29</v>
      </c>
      <c r="B1461" t="s">
        <v>43</v>
      </c>
      <c r="C1461" t="s">
        <v>36</v>
      </c>
      <c r="D1461" s="2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s="2" t="str">
        <f t="shared" si="22"/>
        <v>Low</v>
      </c>
    </row>
    <row r="1462" spans="1:36" x14ac:dyDescent="0.35">
      <c r="A1462">
        <v>29</v>
      </c>
      <c r="B1462" t="s">
        <v>43</v>
      </c>
      <c r="C1462" t="s">
        <v>36</v>
      </c>
      <c r="D1462" s="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s="2" t="str">
        <f t="shared" si="22"/>
        <v>Low</v>
      </c>
    </row>
    <row r="1463" spans="1:36" x14ac:dyDescent="0.35">
      <c r="A1463">
        <v>50</v>
      </c>
      <c r="B1463" t="s">
        <v>35</v>
      </c>
      <c r="C1463" t="s">
        <v>36</v>
      </c>
      <c r="D1463" s="2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s="2" t="str">
        <f t="shared" si="22"/>
        <v>High</v>
      </c>
    </row>
    <row r="1464" spans="1:36" x14ac:dyDescent="0.35">
      <c r="A1464">
        <v>39</v>
      </c>
      <c r="B1464" t="s">
        <v>43</v>
      </c>
      <c r="C1464" t="s">
        <v>36</v>
      </c>
      <c r="D1464" s="2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s="2" t="str">
        <f t="shared" si="22"/>
        <v>High</v>
      </c>
    </row>
    <row r="1465" spans="1:36" x14ac:dyDescent="0.35">
      <c r="A1465">
        <v>31</v>
      </c>
      <c r="B1465" t="s">
        <v>43</v>
      </c>
      <c r="C1465" t="s">
        <v>55</v>
      </c>
      <c r="D1465" s="2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s="2" t="str">
        <f t="shared" si="22"/>
        <v>Medium</v>
      </c>
    </row>
    <row r="1466" spans="1:36" x14ac:dyDescent="0.35">
      <c r="A1466">
        <v>26</v>
      </c>
      <c r="B1466" t="s">
        <v>43</v>
      </c>
      <c r="C1466" t="s">
        <v>36</v>
      </c>
      <c r="D1466" s="2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s="2" t="str">
        <f t="shared" si="22"/>
        <v>Low</v>
      </c>
    </row>
    <row r="1467" spans="1:36" x14ac:dyDescent="0.35">
      <c r="A1467">
        <v>36</v>
      </c>
      <c r="B1467" t="s">
        <v>43</v>
      </c>
      <c r="C1467" t="s">
        <v>44</v>
      </c>
      <c r="D1467" s="2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s="2" t="str">
        <f t="shared" si="22"/>
        <v>Low</v>
      </c>
    </row>
    <row r="1468" spans="1:36" x14ac:dyDescent="0.35">
      <c r="A1468">
        <v>39</v>
      </c>
      <c r="B1468" t="s">
        <v>43</v>
      </c>
      <c r="C1468" t="s">
        <v>36</v>
      </c>
      <c r="D1468" s="2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s="2" t="str">
        <f t="shared" si="22"/>
        <v>Medium</v>
      </c>
    </row>
    <row r="1469" spans="1:36" x14ac:dyDescent="0.35">
      <c r="A1469">
        <v>27</v>
      </c>
      <c r="B1469" t="s">
        <v>43</v>
      </c>
      <c r="C1469" t="s">
        <v>36</v>
      </c>
      <c r="D1469" s="2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s="2" t="str">
        <f t="shared" si="22"/>
        <v>Medium</v>
      </c>
    </row>
    <row r="1470" spans="1:36" x14ac:dyDescent="0.35">
      <c r="A1470">
        <v>49</v>
      </c>
      <c r="B1470" t="s">
        <v>43</v>
      </c>
      <c r="C1470" t="s">
        <v>44</v>
      </c>
      <c r="D1470" s="2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s="2" t="str">
        <f t="shared" si="22"/>
        <v>Medium</v>
      </c>
    </row>
    <row r="1471" spans="1:36" x14ac:dyDescent="0.35">
      <c r="A1471">
        <v>34</v>
      </c>
      <c r="B1471" t="s">
        <v>43</v>
      </c>
      <c r="C1471" t="s">
        <v>36</v>
      </c>
      <c r="D1471" s="2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s="2" t="str">
        <f t="shared" si="22"/>
        <v>Low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3B19-8DF9-402E-B55D-4E0679631932}">
  <dimension ref="A1:D58"/>
  <sheetViews>
    <sheetView tabSelected="1" topLeftCell="C1" zoomScale="56" zoomScaleNormal="85" workbookViewId="0">
      <selection activeCell="C62" sqref="C62"/>
    </sheetView>
  </sheetViews>
  <sheetFormatPr defaultRowHeight="14.5" x14ac:dyDescent="0.35"/>
  <cols>
    <col min="1" max="1" width="23.36328125" style="2" customWidth="1"/>
    <col min="2" max="2" width="42.6328125" style="2" customWidth="1"/>
    <col min="3" max="3" width="25.54296875" style="2" customWidth="1"/>
    <col min="4" max="4" width="21.453125" style="2" customWidth="1"/>
  </cols>
  <sheetData>
    <row r="1" spans="1:4" ht="21" x14ac:dyDescent="0.5">
      <c r="A1" s="38" t="s">
        <v>69</v>
      </c>
      <c r="B1" s="39" t="s">
        <v>70</v>
      </c>
      <c r="C1" s="39" t="s">
        <v>71</v>
      </c>
      <c r="D1" s="40" t="s">
        <v>67</v>
      </c>
    </row>
    <row r="2" spans="1:4" x14ac:dyDescent="0.35">
      <c r="A2" s="18" t="s">
        <v>40</v>
      </c>
      <c r="B2" s="17">
        <f>COUNTIFS(HR_Data!$P:$P,A2,HR_Data!$B:$B,"Yes")</f>
        <v>57</v>
      </c>
      <c r="C2" s="17">
        <f>COUNTIF(HR_Data!$P:$P,A2)</f>
        <v>326</v>
      </c>
      <c r="D2" s="19">
        <f>B2/C2</f>
        <v>0.17484662576687116</v>
      </c>
    </row>
    <row r="3" spans="1:4" x14ac:dyDescent="0.35">
      <c r="A3" s="18" t="s">
        <v>47</v>
      </c>
      <c r="B3" s="17">
        <f>COUNTIFS(HR_Data!$P:$P,A3,HR_Data!$B:$B,"Yes")</f>
        <v>47</v>
      </c>
      <c r="C3" s="17">
        <f>COUNTIF(HR_Data!$P:$P,A3)</f>
        <v>292</v>
      </c>
      <c r="D3" s="19">
        <f t="shared" ref="D3:D10" si="0">B3/C3</f>
        <v>0.16095890410958905</v>
      </c>
    </row>
    <row r="4" spans="1:4" x14ac:dyDescent="0.35">
      <c r="A4" s="18" t="s">
        <v>50</v>
      </c>
      <c r="B4" s="17">
        <f>COUNTIFS(HR_Data!$P:$P,A4,HR_Data!$B:$B,"Yes")</f>
        <v>62</v>
      </c>
      <c r="C4" s="17">
        <f>COUNTIF(HR_Data!$P:$P,A4)</f>
        <v>259</v>
      </c>
      <c r="D4" s="19">
        <f t="shared" si="0"/>
        <v>0.23938223938223938</v>
      </c>
    </row>
    <row r="5" spans="1:4" x14ac:dyDescent="0.35">
      <c r="A5" s="18" t="s">
        <v>53</v>
      </c>
      <c r="B5" s="17">
        <f>COUNTIFS(HR_Data!$P:$P,A5,HR_Data!$B:$B,"Yes")</f>
        <v>10</v>
      </c>
      <c r="C5" s="17">
        <f>COUNTIF(HR_Data!$P:$P,A5)</f>
        <v>145</v>
      </c>
      <c r="D5" s="19">
        <f t="shared" si="0"/>
        <v>6.8965517241379309E-2</v>
      </c>
    </row>
    <row r="6" spans="1:4" x14ac:dyDescent="0.35">
      <c r="A6" s="18" t="s">
        <v>54</v>
      </c>
      <c r="B6" s="17">
        <f>COUNTIFS(HR_Data!$P:$P,A6,HR_Data!$B:$B,"Yes")</f>
        <v>9</v>
      </c>
      <c r="C6" s="17">
        <f>COUNTIF(HR_Data!$P:$P,A6)</f>
        <v>131</v>
      </c>
      <c r="D6" s="19">
        <f t="shared" si="0"/>
        <v>6.8702290076335881E-2</v>
      </c>
    </row>
    <row r="7" spans="1:4" x14ac:dyDescent="0.35">
      <c r="A7" s="18" t="s">
        <v>56</v>
      </c>
      <c r="B7" s="17">
        <f>COUNTIFS(HR_Data!$P:$P,A7,HR_Data!$B:$B,"Yes")</f>
        <v>5</v>
      </c>
      <c r="C7" s="17">
        <f>COUNTIF(HR_Data!$P:$P,A7)</f>
        <v>102</v>
      </c>
      <c r="D7" s="19">
        <f t="shared" si="0"/>
        <v>4.9019607843137254E-2</v>
      </c>
    </row>
    <row r="8" spans="1:4" x14ac:dyDescent="0.35">
      <c r="A8" s="18" t="s">
        <v>57</v>
      </c>
      <c r="B8" s="17">
        <f>COUNTIFS(HR_Data!$P:$P,A8,HR_Data!$B:$B,"Yes")</f>
        <v>33</v>
      </c>
      <c r="C8" s="17">
        <f>COUNTIF(HR_Data!$P:$P,A8)</f>
        <v>83</v>
      </c>
      <c r="D8" s="19">
        <f t="shared" si="0"/>
        <v>0.39759036144578314</v>
      </c>
    </row>
    <row r="9" spans="1:4" x14ac:dyDescent="0.35">
      <c r="A9" s="18" t="s">
        <v>58</v>
      </c>
      <c r="B9" s="17">
        <f>COUNTIFS(HR_Data!$P:$P,A9,HR_Data!$B:$B,"Yes")</f>
        <v>2</v>
      </c>
      <c r="C9" s="17">
        <f>COUNTIF(HR_Data!$P:$P,A9)</f>
        <v>80</v>
      </c>
      <c r="D9" s="19">
        <f t="shared" si="0"/>
        <v>2.5000000000000001E-2</v>
      </c>
    </row>
    <row r="10" spans="1:4" ht="15" thickBot="1" x14ac:dyDescent="0.4">
      <c r="A10" s="20" t="s">
        <v>61</v>
      </c>
      <c r="B10" s="21">
        <f>COUNTIFS(HR_Data!$P:$P,A10,HR_Data!$B:$B,"Yes")</f>
        <v>12</v>
      </c>
      <c r="C10" s="21">
        <f>COUNTIF(HR_Data!$P:$P,A10)</f>
        <v>52</v>
      </c>
      <c r="D10" s="22">
        <f t="shared" si="0"/>
        <v>0.23076923076923078</v>
      </c>
    </row>
    <row r="11" spans="1:4" x14ac:dyDescent="0.35">
      <c r="D11" s="16"/>
    </row>
    <row r="12" spans="1:4" x14ac:dyDescent="0.35">
      <c r="D12" s="16"/>
    </row>
    <row r="24" spans="1:2" ht="15" thickBot="1" x14ac:dyDescent="0.4"/>
    <row r="25" spans="1:2" ht="21" x14ac:dyDescent="0.5">
      <c r="A25" s="32" t="s">
        <v>69</v>
      </c>
      <c r="B25" s="33" t="s">
        <v>72</v>
      </c>
    </row>
    <row r="26" spans="1:2" x14ac:dyDescent="0.35">
      <c r="A26" s="34" t="s">
        <v>40</v>
      </c>
      <c r="B26" s="35">
        <f>AVERAGEIF(HR_Data!P:P,A26,HR_Data!S:S)</f>
        <v>6924.2791411042945</v>
      </c>
    </row>
    <row r="27" spans="1:2" x14ac:dyDescent="0.35">
      <c r="A27" s="34" t="s">
        <v>47</v>
      </c>
      <c r="B27" s="35">
        <f>AVERAGEIF(HR_Data!P:P,A27,HR_Data!S:S)</f>
        <v>3239.972602739726</v>
      </c>
    </row>
    <row r="28" spans="1:2" x14ac:dyDescent="0.35">
      <c r="A28" s="34" t="s">
        <v>50</v>
      </c>
      <c r="B28" s="35">
        <f>AVERAGEIF(HR_Data!P:P,A28,HR_Data!S:S)</f>
        <v>3237.169884169884</v>
      </c>
    </row>
    <row r="29" spans="1:2" x14ac:dyDescent="0.35">
      <c r="A29" s="34" t="s">
        <v>53</v>
      </c>
      <c r="B29" s="35">
        <f>AVERAGEIF(HR_Data!P:P,A29,HR_Data!S:S)</f>
        <v>7295.1379310344828</v>
      </c>
    </row>
    <row r="30" spans="1:2" x14ac:dyDescent="0.35">
      <c r="A30" s="34" t="s">
        <v>54</v>
      </c>
      <c r="B30" s="35">
        <f>AVERAGEIF(HR_Data!P:P,A30,HR_Data!S:S)</f>
        <v>7528.7633587786258</v>
      </c>
    </row>
    <row r="31" spans="1:2" x14ac:dyDescent="0.35">
      <c r="A31" s="34" t="s">
        <v>56</v>
      </c>
      <c r="B31" s="35">
        <f>AVERAGEIF(HR_Data!P:P,A31,HR_Data!S:S)</f>
        <v>17181.676470588234</v>
      </c>
    </row>
    <row r="32" spans="1:2" x14ac:dyDescent="0.35">
      <c r="A32" s="34" t="s">
        <v>57</v>
      </c>
      <c r="B32" s="35">
        <f>AVERAGEIF(HR_Data!P:P,A32,HR_Data!S:S)</f>
        <v>2626</v>
      </c>
    </row>
    <row r="33" spans="1:2" x14ac:dyDescent="0.35">
      <c r="A33" s="34" t="s">
        <v>58</v>
      </c>
      <c r="B33" s="35">
        <f>AVERAGEIF(HR_Data!P:P,A33,HR_Data!S:S)</f>
        <v>16033.55</v>
      </c>
    </row>
    <row r="34" spans="1:2" ht="15" thickBot="1" x14ac:dyDescent="0.4">
      <c r="A34" s="36" t="s">
        <v>61</v>
      </c>
      <c r="B34" s="37">
        <f>AVERAGEIF(HR_Data!P:P,A34,HR_Data!S:S)</f>
        <v>4235.75</v>
      </c>
    </row>
    <row r="35" spans="1:2" x14ac:dyDescent="0.35">
      <c r="B35" s="23"/>
    </row>
    <row r="36" spans="1:2" x14ac:dyDescent="0.35">
      <c r="B36" s="23"/>
    </row>
    <row r="41" spans="1:2" ht="15" thickBot="1" x14ac:dyDescent="0.4"/>
    <row r="42" spans="1:2" ht="21" x14ac:dyDescent="0.5">
      <c r="A42" s="30" t="s">
        <v>4</v>
      </c>
      <c r="B42" s="31" t="s">
        <v>73</v>
      </c>
    </row>
    <row r="43" spans="1:2" x14ac:dyDescent="0.35">
      <c r="A43" s="25" t="s">
        <v>37</v>
      </c>
      <c r="B43" s="29">
        <f>AVERAGEIF(HR_Data!E:E,A43,HR_Data!S:S)</f>
        <v>6959.17264573991</v>
      </c>
    </row>
    <row r="44" spans="1:2" x14ac:dyDescent="0.35">
      <c r="A44" s="25" t="s">
        <v>45</v>
      </c>
      <c r="B44" s="26">
        <f>AVERAGEIF(HR_Data!E:E,A44,HR_Data!S:S)</f>
        <v>6281.2528616024974</v>
      </c>
    </row>
    <row r="45" spans="1:2" ht="15" thickBot="1" x14ac:dyDescent="0.4">
      <c r="A45" s="27" t="s">
        <v>61</v>
      </c>
      <c r="B45" s="28">
        <f>AVERAGEIF(HR_Data!E:E,A45,HR_Data!S:S)</f>
        <v>6654.5079365079364</v>
      </c>
    </row>
    <row r="46" spans="1:2" x14ac:dyDescent="0.35">
      <c r="B46" s="24"/>
    </row>
    <row r="47" spans="1:2" x14ac:dyDescent="0.35">
      <c r="B47" s="24"/>
    </row>
    <row r="55" spans="1:4" ht="21" x14ac:dyDescent="0.5">
      <c r="A55" s="41" t="s">
        <v>74</v>
      </c>
      <c r="B55" s="41" t="s">
        <v>71</v>
      </c>
      <c r="C55" s="41" t="s">
        <v>67</v>
      </c>
      <c r="D55" s="41" t="s">
        <v>77</v>
      </c>
    </row>
    <row r="56" spans="1:4" x14ac:dyDescent="0.35">
      <c r="A56" s="42" t="s">
        <v>75</v>
      </c>
      <c r="B56" s="43">
        <f>COUNTIF(HR_Data!AJ:AJ,"Low")</f>
        <v>749</v>
      </c>
      <c r="C56" s="43">
        <f>COUNTIFS(HR_Data!AJ:AJ,"Low",HR_Data!B:B,"Yes")</f>
        <v>163</v>
      </c>
      <c r="D56" s="44">
        <f>C56/B56</f>
        <v>0.21762349799732977</v>
      </c>
    </row>
    <row r="57" spans="1:4" x14ac:dyDescent="0.35">
      <c r="A57" s="42" t="s">
        <v>78</v>
      </c>
      <c r="B57" s="43">
        <f>COUNTIF(HR_Data!AJ:AJ,"Medium")</f>
        <v>440</v>
      </c>
      <c r="C57" s="43">
        <f>COUNTIFS(HR_Data!AJ:AJ,"Medium",HR_Data!B:B,"Yes")</f>
        <v>49</v>
      </c>
      <c r="D57" s="44">
        <f>C57/B57</f>
        <v>0.11136363636363636</v>
      </c>
    </row>
    <row r="58" spans="1:4" x14ac:dyDescent="0.35">
      <c r="A58" s="42" t="s">
        <v>76</v>
      </c>
      <c r="B58" s="43">
        <f>COUNTIF(HR_Data!AJ:AJ,"High")</f>
        <v>281</v>
      </c>
      <c r="C58" s="43">
        <f>COUNTIFS(HR_Data!AJ:AJ,"High",HR_Data!B:B,"Yes")</f>
        <v>25</v>
      </c>
      <c r="D58" s="44">
        <f>C58/B58</f>
        <v>8.8967971530249115E-2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JobRole-Analysis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Noor Shaba</cp:lastModifiedBy>
  <dcterms:created xsi:type="dcterms:W3CDTF">2026-08-11T13:57:25Z</dcterms:created>
  <dcterms:modified xsi:type="dcterms:W3CDTF">2026-08-17T12:14:00Z</dcterms:modified>
</cp:coreProperties>
</file>